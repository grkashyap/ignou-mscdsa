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ed29f0eb30c819b/Personal/IGNOU-MSCDSA/Assignments/Semester-1/MCSL-065/Lab/"/>
    </mc:Choice>
  </mc:AlternateContent>
  <xr:revisionPtr revIDLastSave="26" documentId="8_{F2F39796-4E48-4575-B9F8-0CEA597F94C2}" xr6:coauthVersionLast="47" xr6:coauthVersionMax="47" xr10:uidLastSave="{690EA3E1-1FB1-4144-9C32-BEEC8574C148}"/>
  <bookViews>
    <workbookView xWindow="-108" yWindow="-108" windowWidth="23256" windowHeight="12456" activeTab="2" xr2:uid="{1B096BBD-19A1-45CC-A2E1-F3C3D2DED2B8}"/>
  </bookViews>
  <sheets>
    <sheet name="Histogram" sheetId="1" r:id="rId1"/>
    <sheet name="BoxPlot" sheetId="2" r:id="rId2"/>
    <sheet name="Sheet3" sheetId="3" r:id="rId3"/>
  </sheets>
  <definedNames>
    <definedName name="_xlchart.v1.0" hidden="1">BoxPlot!$I$4</definedName>
    <definedName name="_xlchart.v1.1" hidden="1">BoxPlot!$D$3</definedName>
    <definedName name="_xlchart.v1.2" hidden="1">BoxPlot!$D$4:$D$23</definedName>
    <definedName name="_xlchart.v1.3" hidden="1">BoxPlot!$E$3</definedName>
    <definedName name="_xlchart.v1.4" hidden="1">BoxPlot!$E$4:$E$23</definedName>
    <definedName name="_xlchart.v1.5" hidden="1">BoxPlot!$F$3</definedName>
    <definedName name="_xlchart.v1.6" hidden="1">BoxPlot!$F$4:$F$23</definedName>
    <definedName name="_xlchart.v1.7" hidden="1">BoxPlot!$I$4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4" i="3" l="1"/>
  <c r="K13" i="3"/>
  <c r="K12" i="3"/>
  <c r="K11" i="3"/>
  <c r="K10" i="3"/>
  <c r="K9" i="3"/>
  <c r="K8" i="3"/>
  <c r="K7" i="3"/>
  <c r="K6" i="3"/>
  <c r="K5" i="3"/>
  <c r="K4" i="3"/>
  <c r="K3" i="3"/>
  <c r="J2" i="3" a="1"/>
  <c r="J2" i="3" s="1"/>
  <c r="B26" i="3"/>
  <c r="H5" i="3"/>
  <c r="H6" i="3" s="1"/>
  <c r="H7" i="3" s="1"/>
  <c r="H8" i="3" s="1"/>
  <c r="H9" i="3" s="1"/>
  <c r="H10" i="3" s="1"/>
  <c r="H11" i="3" s="1"/>
  <c r="H12" i="3" s="1"/>
  <c r="H13" i="3" s="1"/>
  <c r="B25" i="3"/>
  <c r="B28" i="3" s="1"/>
  <c r="B24" i="3"/>
  <c r="G5" i="3"/>
  <c r="G6" i="3" s="1"/>
  <c r="G7" i="3" s="1"/>
  <c r="G8" i="3" s="1"/>
  <c r="G9" i="3" s="1"/>
  <c r="G10" i="3" s="1"/>
  <c r="G11" i="3" s="1"/>
  <c r="G12" i="3" s="1"/>
  <c r="G13" i="3" s="1"/>
  <c r="G14" i="3" s="1"/>
  <c r="J13" i="3" l="1"/>
  <c r="J5" i="3"/>
  <c r="J12" i="3"/>
  <c r="J4" i="3"/>
  <c r="J11" i="3"/>
  <c r="J7" i="3"/>
  <c r="J3" i="3"/>
  <c r="J9" i="3"/>
  <c r="J8" i="3"/>
  <c r="J14" i="3"/>
  <c r="J10" i="3"/>
  <c r="J6" i="3"/>
</calcChain>
</file>

<file path=xl/sharedStrings.xml><?xml version="1.0" encoding="utf-8"?>
<sst xmlns="http://schemas.openxmlformats.org/spreadsheetml/2006/main" count="37" uniqueCount="20">
  <si>
    <t>Interval</t>
  </si>
  <si>
    <t>Frequency</t>
  </si>
  <si>
    <t>0-10</t>
  </si>
  <si>
    <t>20-30</t>
  </si>
  <si>
    <t>30-40</t>
  </si>
  <si>
    <t>40-50</t>
  </si>
  <si>
    <t>10-20</t>
  </si>
  <si>
    <t>Subject</t>
  </si>
  <si>
    <t>Section-A</t>
  </si>
  <si>
    <t>Section-B</t>
  </si>
  <si>
    <t>Section-C</t>
  </si>
  <si>
    <t>English</t>
  </si>
  <si>
    <t>Math</t>
  </si>
  <si>
    <t>Science</t>
  </si>
  <si>
    <t>Economics</t>
  </si>
  <si>
    <t>MAX</t>
  </si>
  <si>
    <t>MIN</t>
  </si>
  <si>
    <t>COUNT</t>
  </si>
  <si>
    <t>Bin</t>
  </si>
  <si>
    <t>More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</si>
</sst>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7" fontId="0" fillId="0" borderId="0" xfId="0" quotePrefix="1" applyNumberFormat="1"/>
    <xf numFmtId="0" fontId="0" fillId="0" borderId="1" xfId="0" applyBorder="1"/>
    <xf numFmtId="0" fontId="1" fillId="0" borderId="0" xfId="0" applyFon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Histogram!$D$2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Histogram!$C$3:$C$7</c:f>
              <c:strCache>
                <c:ptCount val="5"/>
                <c:pt idx="0">
                  <c:v>0-10</c:v>
                </c:pt>
                <c:pt idx="1">
                  <c:v>10-20</c:v>
                </c:pt>
                <c:pt idx="2">
                  <c:v>20-30</c:v>
                </c:pt>
                <c:pt idx="3">
                  <c:v>30-40</c:v>
                </c:pt>
                <c:pt idx="4">
                  <c:v>40-50</c:v>
                </c:pt>
              </c:strCache>
            </c:strRef>
          </c:cat>
          <c:val>
            <c:numRef>
              <c:f>Histogram!$D$3:$D$7</c:f>
              <c:numCache>
                <c:formatCode>General</c:formatCode>
                <c:ptCount val="5"/>
                <c:pt idx="0">
                  <c:v>35</c:v>
                </c:pt>
                <c:pt idx="1">
                  <c:v>70</c:v>
                </c:pt>
                <c:pt idx="2">
                  <c:v>20</c:v>
                </c:pt>
                <c:pt idx="3">
                  <c:v>40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9A-4EAD-8034-FA61E196D3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3947952"/>
        <c:axId val="343947472"/>
      </c:barChart>
      <c:catAx>
        <c:axId val="343947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47472"/>
        <c:crosses val="autoZero"/>
        <c:auto val="1"/>
        <c:lblAlgn val="ctr"/>
        <c:lblOffset val="100"/>
        <c:noMultiLvlLbl val="0"/>
      </c:catAx>
      <c:valAx>
        <c:axId val="34394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94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Frequency</c:v>
          </c:tx>
          <c:spPr>
            <a:pattFill prst="pct25">
              <a:fgClr>
                <a:schemeClr val="tx1"/>
              </a:fgClr>
              <a:bgClr>
                <a:schemeClr val="bg1"/>
              </a:bgClr>
            </a:pattFill>
            <a:ln>
              <a:solidFill>
                <a:schemeClr val="accent1"/>
              </a:solidFill>
            </a:ln>
          </c:spPr>
          <c:invertIfNegative val="0"/>
          <c:cat>
            <c:strRef>
              <c:f>Sheet3!$N$3:$N$14</c:f>
              <c:strCache>
                <c:ptCount val="12"/>
                <c:pt idx="0">
                  <c:v>510.6</c:v>
                </c:pt>
                <c:pt idx="1">
                  <c:v>590.6</c:v>
                </c:pt>
                <c:pt idx="2">
                  <c:v>670.6</c:v>
                </c:pt>
                <c:pt idx="3">
                  <c:v>750.6</c:v>
                </c:pt>
                <c:pt idx="4">
                  <c:v>830.6</c:v>
                </c:pt>
                <c:pt idx="5">
                  <c:v>910.6</c:v>
                </c:pt>
                <c:pt idx="6">
                  <c:v>990.6</c:v>
                </c:pt>
                <c:pt idx="7">
                  <c:v>1070.6</c:v>
                </c:pt>
                <c:pt idx="8">
                  <c:v>1150.6</c:v>
                </c:pt>
                <c:pt idx="9">
                  <c:v>1230.6</c:v>
                </c:pt>
                <c:pt idx="11">
                  <c:v>More</c:v>
                </c:pt>
              </c:strCache>
            </c:strRef>
          </c:cat>
          <c:val>
            <c:numRef>
              <c:f>Sheet3!$O$3:$O$14</c:f>
              <c:numCache>
                <c:formatCode>General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8</c:v>
                </c:pt>
                <c:pt idx="5">
                  <c:v>13</c:v>
                </c:pt>
                <c:pt idx="6">
                  <c:v>26</c:v>
                </c:pt>
                <c:pt idx="7">
                  <c:v>20</c:v>
                </c:pt>
                <c:pt idx="8">
                  <c:v>12</c:v>
                </c:pt>
                <c:pt idx="9">
                  <c:v>6</c:v>
                </c:pt>
                <c:pt idx="10">
                  <c:v>7</c:v>
                </c:pt>
                <c:pt idx="11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5-4F6F-9617-4D64F66A28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719511040"/>
        <c:axId val="719509120"/>
      </c:barChart>
      <c:catAx>
        <c:axId val="719511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Bin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9509120"/>
        <c:crosses val="autoZero"/>
        <c:auto val="1"/>
        <c:lblAlgn val="ctr"/>
        <c:lblOffset val="100"/>
        <c:noMultiLvlLbl val="0"/>
      </c:catAx>
      <c:valAx>
        <c:axId val="71950912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19511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  <cx:data id="1">
      <cx:numDim type="val">
        <cx:f>_xlchart.v1.4</cx:f>
      </cx:numDim>
    </cx:data>
    <cx:data id="2">
      <cx:numDim type="val">
        <cx:f>_xlchart.v1.6</cx:f>
      </cx:numDim>
    </cx:data>
  </cx:chartData>
  <cx:chart>
    <cx:title pos="t" align="ctr" overlay="0"/>
    <cx:plotArea>
      <cx:plotAreaRegion>
        <cx:series layoutId="boxWhisker" uniqueId="{38D8C3EF-4CA8-4703-ABA8-0D4531EE325C}">
          <cx:tx>
            <cx:txData>
              <cx:f>_xlchart.v1.1</cx:f>
              <cx:v>Section-A</cx:v>
            </cx:txData>
          </cx:tx>
          <cx:dataId val="0"/>
          <cx:layoutPr>
            <cx:statistics quartileMethod="exclusive"/>
          </cx:layoutPr>
        </cx:series>
        <cx:series layoutId="boxWhisker" uniqueId="{AAE1364B-2221-4006-9B2F-770E09FDC7E5}">
          <cx:tx>
            <cx:txData>
              <cx:f>_xlchart.v1.3</cx:f>
              <cx:v>Section-B</cx:v>
            </cx:txData>
          </cx:tx>
          <cx:dataId val="1"/>
          <cx:layoutPr>
            <cx:statistics quartileMethod="exclusive"/>
          </cx:layoutPr>
        </cx:series>
        <cx:series layoutId="boxWhisker" uniqueId="{9FC6CD11-686B-4659-94D3-12DBF8928F7A}">
          <cx:tx>
            <cx:txData>
              <cx:f>_xlchart.v1.5</cx:f>
              <cx:v>Section-C</cx:v>
            </cx:txData>
          </cx:tx>
          <cx:dataId val="2"/>
          <cx:layoutPr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6</xdr:row>
      <xdr:rowOff>148590</xdr:rowOff>
    </xdr:from>
    <xdr:to>
      <xdr:col>15</xdr:col>
      <xdr:colOff>198120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820AE6-D12C-621F-BBFD-A42BCF3C10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525780</xdr:colOff>
      <xdr:row>4</xdr:row>
      <xdr:rowOff>26670</xdr:rowOff>
    </xdr:from>
    <xdr:to>
      <xdr:col>16</xdr:col>
      <xdr:colOff>220980</xdr:colOff>
      <xdr:row>19</xdr:row>
      <xdr:rowOff>26670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A4E77B6-3E23-8A6E-28A2-5409C770F57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49440" y="758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586740</xdr:colOff>
      <xdr:row>15</xdr:row>
      <xdr:rowOff>160020</xdr:rowOff>
    </xdr:from>
    <xdr:to>
      <xdr:col>20</xdr:col>
      <xdr:colOff>7620</xdr:colOff>
      <xdr:row>28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8CBD61-52A3-0E06-CB60-4FE149C96C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57ABA-08AE-49C6-B848-26CC4AB529EA}">
  <dimension ref="C2:D7"/>
  <sheetViews>
    <sheetView workbookViewId="0">
      <selection activeCell="D18" sqref="D18"/>
    </sheetView>
  </sheetViews>
  <sheetFormatPr defaultRowHeight="14.4" x14ac:dyDescent="0.3"/>
  <cols>
    <col min="4" max="4" width="9.33203125" bestFit="1" customWidth="1"/>
  </cols>
  <sheetData>
    <row r="2" spans="3:4" x14ac:dyDescent="0.3">
      <c r="C2" t="s">
        <v>0</v>
      </c>
      <c r="D2" t="s">
        <v>1</v>
      </c>
    </row>
    <row r="3" spans="3:4" x14ac:dyDescent="0.3">
      <c r="C3" t="s">
        <v>2</v>
      </c>
      <c r="D3">
        <v>35</v>
      </c>
    </row>
    <row r="4" spans="3:4" x14ac:dyDescent="0.3">
      <c r="C4" s="1" t="s">
        <v>6</v>
      </c>
      <c r="D4">
        <v>70</v>
      </c>
    </row>
    <row r="5" spans="3:4" x14ac:dyDescent="0.3">
      <c r="C5" t="s">
        <v>3</v>
      </c>
      <c r="D5">
        <v>20</v>
      </c>
    </row>
    <row r="6" spans="3:4" x14ac:dyDescent="0.3">
      <c r="C6" t="s">
        <v>4</v>
      </c>
      <c r="D6">
        <v>40</v>
      </c>
    </row>
    <row r="7" spans="3:4" x14ac:dyDescent="0.3">
      <c r="C7" t="s">
        <v>5</v>
      </c>
      <c r="D7">
        <v>50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62800-6930-47C9-ABEE-6C9954F4246D}">
  <dimension ref="C3:F23"/>
  <sheetViews>
    <sheetView workbookViewId="0">
      <selection activeCell="K21" sqref="K21"/>
    </sheetView>
  </sheetViews>
  <sheetFormatPr defaultRowHeight="14.4" x14ac:dyDescent="0.3"/>
  <cols>
    <col min="3" max="3" width="31.44140625" bestFit="1" customWidth="1"/>
  </cols>
  <sheetData>
    <row r="3" spans="3:6" x14ac:dyDescent="0.3">
      <c r="C3" s="2" t="s">
        <v>7</v>
      </c>
      <c r="D3" s="2" t="s">
        <v>8</v>
      </c>
      <c r="E3" s="2" t="s">
        <v>9</v>
      </c>
      <c r="F3" s="2" t="s">
        <v>10</v>
      </c>
    </row>
    <row r="4" spans="3:6" x14ac:dyDescent="0.3">
      <c r="C4" s="2" t="s">
        <v>11</v>
      </c>
      <c r="D4" s="2">
        <v>59</v>
      </c>
      <c r="E4" s="2">
        <v>65</v>
      </c>
      <c r="F4" s="2">
        <v>82</v>
      </c>
    </row>
    <row r="5" spans="3:6" x14ac:dyDescent="0.3">
      <c r="C5" s="2" t="s">
        <v>12</v>
      </c>
      <c r="D5" s="2">
        <v>96</v>
      </c>
      <c r="E5" s="2">
        <v>73</v>
      </c>
      <c r="F5" s="2">
        <v>66</v>
      </c>
    </row>
    <row r="6" spans="3:6" x14ac:dyDescent="0.3">
      <c r="C6" s="2" t="s">
        <v>13</v>
      </c>
      <c r="D6" s="2">
        <v>78</v>
      </c>
      <c r="E6" s="2">
        <v>57</v>
      </c>
      <c r="F6" s="2">
        <v>81</v>
      </c>
    </row>
    <row r="7" spans="3:6" x14ac:dyDescent="0.3">
      <c r="C7" s="2" t="s">
        <v>14</v>
      </c>
      <c r="D7" s="2">
        <v>96</v>
      </c>
      <c r="E7" s="2">
        <v>79</v>
      </c>
      <c r="F7" s="2">
        <v>73</v>
      </c>
    </row>
    <row r="8" spans="3:6" x14ac:dyDescent="0.3">
      <c r="C8" s="2" t="s">
        <v>11</v>
      </c>
      <c r="D8" s="2">
        <v>65</v>
      </c>
      <c r="E8" s="2">
        <v>55</v>
      </c>
      <c r="F8" s="2">
        <v>94</v>
      </c>
    </row>
    <row r="9" spans="3:6" x14ac:dyDescent="0.3">
      <c r="C9" s="2" t="s">
        <v>12</v>
      </c>
      <c r="D9" s="2">
        <v>78</v>
      </c>
      <c r="E9" s="2">
        <v>65</v>
      </c>
      <c r="F9" s="2">
        <v>56</v>
      </c>
    </row>
    <row r="10" spans="3:6" x14ac:dyDescent="0.3">
      <c r="C10" s="2" t="s">
        <v>13</v>
      </c>
      <c r="D10" s="2">
        <v>68</v>
      </c>
      <c r="E10" s="2">
        <v>61</v>
      </c>
      <c r="F10" s="2">
        <v>85</v>
      </c>
    </row>
    <row r="11" spans="3:6" x14ac:dyDescent="0.3">
      <c r="C11" s="2" t="s">
        <v>14</v>
      </c>
      <c r="D11" s="2">
        <v>96</v>
      </c>
      <c r="E11" s="2">
        <v>98</v>
      </c>
      <c r="F11" s="2">
        <v>56</v>
      </c>
    </row>
    <row r="12" spans="3:6" x14ac:dyDescent="0.3">
      <c r="C12" s="2" t="s">
        <v>11</v>
      </c>
      <c r="D12" s="2">
        <v>85</v>
      </c>
      <c r="E12" s="2">
        <v>63</v>
      </c>
      <c r="F12" s="2">
        <v>85</v>
      </c>
    </row>
    <row r="13" spans="3:6" x14ac:dyDescent="0.3">
      <c r="C13" s="2" t="s">
        <v>12</v>
      </c>
      <c r="D13" s="2">
        <v>93</v>
      </c>
      <c r="E13" s="2">
        <v>88</v>
      </c>
      <c r="F13" s="2">
        <v>68</v>
      </c>
    </row>
    <row r="14" spans="3:6" x14ac:dyDescent="0.3">
      <c r="C14" s="2" t="s">
        <v>13</v>
      </c>
      <c r="D14" s="2">
        <v>94</v>
      </c>
      <c r="E14" s="2">
        <v>66</v>
      </c>
      <c r="F14" s="2">
        <v>94</v>
      </c>
    </row>
    <row r="15" spans="3:6" x14ac:dyDescent="0.3">
      <c r="C15" s="2" t="s">
        <v>14</v>
      </c>
      <c r="D15" s="2">
        <v>67</v>
      </c>
      <c r="E15" s="2">
        <v>59</v>
      </c>
      <c r="F15" s="2">
        <v>86</v>
      </c>
    </row>
    <row r="16" spans="3:6" x14ac:dyDescent="0.3">
      <c r="C16" s="2" t="s">
        <v>11</v>
      </c>
      <c r="D16" s="2">
        <v>82</v>
      </c>
      <c r="E16" s="2">
        <v>66</v>
      </c>
      <c r="F16" s="2">
        <v>96</v>
      </c>
    </row>
    <row r="17" spans="3:6" x14ac:dyDescent="0.3">
      <c r="C17" s="2" t="s">
        <v>12</v>
      </c>
      <c r="D17" s="2">
        <v>64</v>
      </c>
      <c r="E17" s="2">
        <v>79</v>
      </c>
      <c r="F17" s="2">
        <v>63</v>
      </c>
    </row>
    <row r="18" spans="3:6" x14ac:dyDescent="0.3">
      <c r="C18" s="2" t="s">
        <v>13</v>
      </c>
      <c r="D18" s="2">
        <v>55</v>
      </c>
      <c r="E18" s="2">
        <v>90</v>
      </c>
      <c r="F18" s="2">
        <v>97</v>
      </c>
    </row>
    <row r="19" spans="3:6" x14ac:dyDescent="0.3">
      <c r="C19" s="2" t="s">
        <v>14</v>
      </c>
      <c r="D19" s="2">
        <v>73</v>
      </c>
      <c r="E19" s="2">
        <v>89</v>
      </c>
      <c r="F19" s="2">
        <v>95</v>
      </c>
    </row>
    <row r="20" spans="3:6" x14ac:dyDescent="0.3">
      <c r="C20" s="2" t="s">
        <v>11</v>
      </c>
      <c r="D20" s="2">
        <v>89</v>
      </c>
      <c r="E20" s="2">
        <v>66</v>
      </c>
      <c r="F20" s="2">
        <v>75</v>
      </c>
    </row>
    <row r="21" spans="3:6" x14ac:dyDescent="0.3">
      <c r="C21" s="2" t="s">
        <v>12</v>
      </c>
      <c r="D21" s="2">
        <v>57</v>
      </c>
      <c r="E21" s="2">
        <v>81</v>
      </c>
      <c r="F21" s="2">
        <v>73</v>
      </c>
    </row>
    <row r="22" spans="3:6" x14ac:dyDescent="0.3">
      <c r="C22" s="2" t="s">
        <v>13</v>
      </c>
      <c r="D22" s="2">
        <v>67</v>
      </c>
      <c r="E22" s="2">
        <v>92</v>
      </c>
      <c r="F22" s="2">
        <v>88</v>
      </c>
    </row>
    <row r="23" spans="3:6" x14ac:dyDescent="0.3">
      <c r="C23" s="2" t="s">
        <v>14</v>
      </c>
      <c r="D23" s="2">
        <v>78</v>
      </c>
      <c r="E23" s="2">
        <v>65</v>
      </c>
      <c r="F23" s="2">
        <v>69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5AE5A-28F7-4B21-A4D6-62573A18C331}">
  <dimension ref="A1:O28"/>
  <sheetViews>
    <sheetView tabSelected="1" topLeftCell="A3" workbookViewId="0">
      <selection activeCell="V18" sqref="V18"/>
    </sheetView>
  </sheetViews>
  <sheetFormatPr defaultRowHeight="14.4" x14ac:dyDescent="0.3"/>
  <sheetData>
    <row r="1" spans="1:15" ht="15" thickBot="1" x14ac:dyDescent="0.35"/>
    <row r="2" spans="1:15" x14ac:dyDescent="0.3">
      <c r="A2">
        <v>511.6</v>
      </c>
      <c r="B2">
        <v>977.7</v>
      </c>
      <c r="C2">
        <v>600.20000000000005</v>
      </c>
      <c r="D2">
        <v>1099.7</v>
      </c>
      <c r="E2">
        <v>803.7</v>
      </c>
      <c r="H2">
        <v>510.5</v>
      </c>
      <c r="J2">
        <f t="array" ref="J2:J14">FREQUENCY(A2:E21,H2:H13)</f>
        <v>0</v>
      </c>
      <c r="K2">
        <v>0</v>
      </c>
      <c r="N2" s="7" t="s">
        <v>18</v>
      </c>
      <c r="O2" s="7" t="s">
        <v>1</v>
      </c>
    </row>
    <row r="3" spans="1:15" x14ac:dyDescent="0.3">
      <c r="A3">
        <v>923.4</v>
      </c>
      <c r="B3">
        <v>1108.3</v>
      </c>
      <c r="C3">
        <v>906.7</v>
      </c>
      <c r="D3">
        <v>759.6</v>
      </c>
      <c r="E3">
        <v>1111.9000000000001</v>
      </c>
      <c r="G3">
        <v>510.6</v>
      </c>
      <c r="H3">
        <v>590.5</v>
      </c>
      <c r="J3">
        <v>1</v>
      </c>
      <c r="K3">
        <f>K2+J3</f>
        <v>1</v>
      </c>
      <c r="N3" s="4">
        <v>510.6</v>
      </c>
      <c r="O3" s="5">
        <v>0</v>
      </c>
    </row>
    <row r="4" spans="1:15" x14ac:dyDescent="0.3">
      <c r="A4">
        <v>918.3</v>
      </c>
      <c r="B4">
        <v>1051.0999999999999</v>
      </c>
      <c r="C4">
        <v>992.5</v>
      </c>
      <c r="D4">
        <v>817.2</v>
      </c>
      <c r="E4">
        <v>665.3</v>
      </c>
      <c r="G4">
        <v>590.6</v>
      </c>
      <c r="H4">
        <v>670.5</v>
      </c>
      <c r="J4">
        <v>2</v>
      </c>
      <c r="K4">
        <f>K3+J4</f>
        <v>3</v>
      </c>
      <c r="N4" s="4">
        <v>590.6</v>
      </c>
      <c r="O4" s="5">
        <v>1</v>
      </c>
    </row>
    <row r="5" spans="1:15" x14ac:dyDescent="0.3">
      <c r="A5">
        <v>1143.5999999999999</v>
      </c>
      <c r="B5">
        <v>848.4</v>
      </c>
      <c r="C5">
        <v>939.8</v>
      </c>
      <c r="D5">
        <v>1163</v>
      </c>
      <c r="E5">
        <v>715.2</v>
      </c>
      <c r="G5">
        <f>G4+80</f>
        <v>670.6</v>
      </c>
      <c r="H5">
        <f>H4+80</f>
        <v>750.5</v>
      </c>
      <c r="J5">
        <v>5</v>
      </c>
      <c r="K5">
        <f>K4+J5</f>
        <v>8</v>
      </c>
      <c r="N5" s="4">
        <v>670.6</v>
      </c>
      <c r="O5" s="5">
        <v>2</v>
      </c>
    </row>
    <row r="6" spans="1:15" x14ac:dyDescent="0.3">
      <c r="A6">
        <v>936.1</v>
      </c>
      <c r="B6">
        <v>750.5</v>
      </c>
      <c r="C6">
        <v>991.2</v>
      </c>
      <c r="D6">
        <v>1199.5</v>
      </c>
      <c r="E6">
        <v>950.2</v>
      </c>
      <c r="G6">
        <f t="shared" ref="G6:G14" si="0">G5+80</f>
        <v>750.6</v>
      </c>
      <c r="H6">
        <f t="shared" ref="H6:H13" si="1">H5+80</f>
        <v>830.5</v>
      </c>
      <c r="J6">
        <v>8</v>
      </c>
      <c r="K6">
        <f>K5+J6</f>
        <v>16</v>
      </c>
      <c r="N6" s="4">
        <v>750.6</v>
      </c>
      <c r="O6" s="5">
        <v>5</v>
      </c>
    </row>
    <row r="7" spans="1:15" x14ac:dyDescent="0.3">
      <c r="A7">
        <v>1161.7</v>
      </c>
      <c r="B7">
        <v>1027.7</v>
      </c>
      <c r="C7">
        <v>995.1</v>
      </c>
      <c r="D7">
        <v>966.5</v>
      </c>
      <c r="E7">
        <v>1146.5</v>
      </c>
      <c r="G7">
        <f t="shared" si="0"/>
        <v>830.6</v>
      </c>
      <c r="H7">
        <f t="shared" si="1"/>
        <v>910.5</v>
      </c>
      <c r="J7">
        <v>13</v>
      </c>
      <c r="K7">
        <f>K6+J7</f>
        <v>29</v>
      </c>
      <c r="N7" s="4">
        <v>830.6</v>
      </c>
      <c r="O7" s="5">
        <v>8</v>
      </c>
    </row>
    <row r="8" spans="1:15" x14ac:dyDescent="0.3">
      <c r="A8">
        <v>848</v>
      </c>
      <c r="B8">
        <v>956.8</v>
      </c>
      <c r="C8">
        <v>1100</v>
      </c>
      <c r="D8">
        <v>955.2</v>
      </c>
      <c r="E8">
        <v>1023</v>
      </c>
      <c r="G8">
        <f t="shared" si="0"/>
        <v>910.6</v>
      </c>
      <c r="H8">
        <f t="shared" si="1"/>
        <v>990.5</v>
      </c>
      <c r="J8">
        <v>26</v>
      </c>
      <c r="K8">
        <f>K7+J8</f>
        <v>55</v>
      </c>
      <c r="N8" s="4">
        <v>910.6</v>
      </c>
      <c r="O8" s="5">
        <v>13</v>
      </c>
    </row>
    <row r="9" spans="1:15" x14ac:dyDescent="0.3">
      <c r="A9">
        <v>900.5</v>
      </c>
      <c r="B9">
        <v>982.3</v>
      </c>
      <c r="C9">
        <v>699.2</v>
      </c>
      <c r="D9">
        <v>1069.8</v>
      </c>
      <c r="E9">
        <v>1245.3</v>
      </c>
      <c r="G9">
        <f t="shared" si="0"/>
        <v>990.6</v>
      </c>
      <c r="H9">
        <f t="shared" si="1"/>
        <v>1070.5</v>
      </c>
      <c r="J9">
        <v>20</v>
      </c>
      <c r="K9">
        <f>K8+J9</f>
        <v>75</v>
      </c>
      <c r="N9" s="4">
        <v>990.6</v>
      </c>
      <c r="O9" s="5">
        <v>26</v>
      </c>
    </row>
    <row r="10" spans="1:15" x14ac:dyDescent="0.3">
      <c r="A10">
        <v>1059.5</v>
      </c>
      <c r="B10">
        <v>1091</v>
      </c>
      <c r="C10">
        <v>850.7</v>
      </c>
      <c r="D10">
        <v>1219.3</v>
      </c>
      <c r="E10">
        <v>1012.6</v>
      </c>
      <c r="G10">
        <f t="shared" si="0"/>
        <v>1070.5999999999999</v>
      </c>
      <c r="H10">
        <f t="shared" si="1"/>
        <v>1150.5</v>
      </c>
      <c r="J10">
        <v>12</v>
      </c>
      <c r="K10">
        <f>K9+J10</f>
        <v>87</v>
      </c>
      <c r="N10" s="4">
        <v>1070.5999999999999</v>
      </c>
      <c r="O10" s="5">
        <v>20</v>
      </c>
    </row>
    <row r="11" spans="1:15" x14ac:dyDescent="0.3">
      <c r="A11">
        <v>1053.2</v>
      </c>
      <c r="B11">
        <v>939.5</v>
      </c>
      <c r="C11">
        <v>777.8</v>
      </c>
      <c r="D11">
        <v>749.6</v>
      </c>
      <c r="E11">
        <v>980.8</v>
      </c>
      <c r="G11">
        <f t="shared" si="0"/>
        <v>1150.5999999999999</v>
      </c>
      <c r="H11">
        <f t="shared" si="1"/>
        <v>1230.5</v>
      </c>
      <c r="J11">
        <v>6</v>
      </c>
      <c r="K11">
        <f>K10+J11</f>
        <v>93</v>
      </c>
      <c r="N11" s="4">
        <v>1150.5999999999999</v>
      </c>
      <c r="O11" s="5">
        <v>12</v>
      </c>
    </row>
    <row r="12" spans="1:15" x14ac:dyDescent="0.3">
      <c r="A12">
        <v>1091.3</v>
      </c>
      <c r="B12">
        <v>1016.3</v>
      </c>
      <c r="C12">
        <v>930.4</v>
      </c>
      <c r="D12">
        <v>1242.2</v>
      </c>
      <c r="E12">
        <v>1131.4000000000001</v>
      </c>
      <c r="G12">
        <f t="shared" si="0"/>
        <v>1230.5999999999999</v>
      </c>
      <c r="H12">
        <f t="shared" si="1"/>
        <v>1310.5</v>
      </c>
      <c r="J12">
        <v>6</v>
      </c>
      <c r="K12">
        <f>K11+J12</f>
        <v>99</v>
      </c>
      <c r="N12" s="4">
        <v>1230.5999999999999</v>
      </c>
      <c r="O12" s="5">
        <v>6</v>
      </c>
    </row>
    <row r="13" spans="1:15" x14ac:dyDescent="0.3">
      <c r="A13">
        <v>1314.7</v>
      </c>
      <c r="B13">
        <v>1137.2</v>
      </c>
      <c r="C13">
        <v>763.1</v>
      </c>
      <c r="D13">
        <v>1294.4000000000001</v>
      </c>
      <c r="E13">
        <v>917.3</v>
      </c>
      <c r="G13">
        <f t="shared" si="0"/>
        <v>1310.5999999999999</v>
      </c>
      <c r="H13">
        <f t="shared" si="1"/>
        <v>1390.5</v>
      </c>
      <c r="J13">
        <v>1</v>
      </c>
      <c r="K13">
        <f>K12+J13</f>
        <v>100</v>
      </c>
      <c r="N13" s="4"/>
      <c r="O13" s="5">
        <v>7</v>
      </c>
    </row>
    <row r="14" spans="1:15" ht="15" thickBot="1" x14ac:dyDescent="0.35">
      <c r="A14">
        <v>1204.0999999999999</v>
      </c>
      <c r="B14">
        <v>980.1</v>
      </c>
      <c r="C14">
        <v>922.3</v>
      </c>
      <c r="D14">
        <v>1057.7</v>
      </c>
      <c r="E14">
        <v>907.2</v>
      </c>
      <c r="G14">
        <f t="shared" si="0"/>
        <v>1390.6</v>
      </c>
      <c r="J14">
        <v>0</v>
      </c>
      <c r="K14">
        <f>K13+J14</f>
        <v>100</v>
      </c>
      <c r="N14" s="6" t="s">
        <v>19</v>
      </c>
      <c r="O14" s="6" t="e">
        <v>#N/A</v>
      </c>
    </row>
    <row r="15" spans="1:15" x14ac:dyDescent="0.3">
      <c r="A15">
        <v>808</v>
      </c>
      <c r="B15">
        <v>857.7</v>
      </c>
      <c r="C15">
        <v>1127.0999999999999</v>
      </c>
      <c r="D15">
        <v>934.3</v>
      </c>
      <c r="E15">
        <v>1262.3</v>
      </c>
    </row>
    <row r="16" spans="1:15" x14ac:dyDescent="0.3">
      <c r="A16">
        <v>965.4</v>
      </c>
      <c r="B16">
        <v>873.4</v>
      </c>
      <c r="C16">
        <v>955.1</v>
      </c>
      <c r="D16">
        <v>806.5</v>
      </c>
      <c r="E16">
        <v>1033</v>
      </c>
    </row>
    <row r="17" spans="1:5" x14ac:dyDescent="0.3">
      <c r="A17">
        <v>1068.3</v>
      </c>
      <c r="B17">
        <v>950.3</v>
      </c>
      <c r="C17">
        <v>930.6</v>
      </c>
      <c r="D17">
        <v>1000.1</v>
      </c>
      <c r="E17">
        <v>898.5</v>
      </c>
    </row>
    <row r="18" spans="1:5" x14ac:dyDescent="0.3">
      <c r="A18">
        <v>1293.0999999999999</v>
      </c>
      <c r="B18">
        <v>940.9</v>
      </c>
      <c r="C18">
        <v>1293.8</v>
      </c>
      <c r="D18">
        <v>1035.2</v>
      </c>
      <c r="E18">
        <v>706</v>
      </c>
    </row>
    <row r="19" spans="1:5" x14ac:dyDescent="0.3">
      <c r="A19">
        <v>880.9</v>
      </c>
      <c r="B19">
        <v>912.2</v>
      </c>
      <c r="C19">
        <v>803.5</v>
      </c>
      <c r="D19">
        <v>922.6</v>
      </c>
      <c r="E19">
        <v>846.1</v>
      </c>
    </row>
    <row r="20" spans="1:5" x14ac:dyDescent="0.3">
      <c r="A20">
        <v>1092.3</v>
      </c>
      <c r="B20">
        <v>1182</v>
      </c>
      <c r="C20">
        <v>985.2</v>
      </c>
      <c r="D20">
        <v>945.3</v>
      </c>
      <c r="E20">
        <v>835</v>
      </c>
    </row>
    <row r="21" spans="1:5" x14ac:dyDescent="0.3">
      <c r="A21">
        <v>1001.5</v>
      </c>
      <c r="B21">
        <v>1048.8</v>
      </c>
      <c r="C21">
        <v>895.1</v>
      </c>
      <c r="D21">
        <v>1067.2</v>
      </c>
      <c r="E21">
        <v>1062.8</v>
      </c>
    </row>
    <row r="24" spans="1:5" x14ac:dyDescent="0.3">
      <c r="A24" s="3" t="s">
        <v>16</v>
      </c>
      <c r="B24">
        <f>MIN(A2:E21)</f>
        <v>511.6</v>
      </c>
    </row>
    <row r="25" spans="1:5" x14ac:dyDescent="0.3">
      <c r="A25" s="3" t="s">
        <v>15</v>
      </c>
      <c r="B25">
        <f>MAX(A2:E21)</f>
        <v>1314.7</v>
      </c>
    </row>
    <row r="26" spans="1:5" x14ac:dyDescent="0.3">
      <c r="A26" s="3" t="s">
        <v>17</v>
      </c>
      <c r="B26">
        <f>COUNT(A2:E21)</f>
        <v>100</v>
      </c>
    </row>
    <row r="28" spans="1:5" x14ac:dyDescent="0.3">
      <c r="B28">
        <f>B25-B24</f>
        <v>803.1</v>
      </c>
    </row>
  </sheetData>
  <sortState xmlns:xlrd2="http://schemas.microsoft.com/office/spreadsheetml/2017/richdata2" ref="N3:N13">
    <sortCondition ref="N3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Histogram</vt:lpstr>
      <vt:lpstr>BoxPlot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Kashyap</dc:creator>
  <cp:lastModifiedBy>Rahul Kashyap</cp:lastModifiedBy>
  <dcterms:created xsi:type="dcterms:W3CDTF">2026-05-09T02:56:03Z</dcterms:created>
  <dcterms:modified xsi:type="dcterms:W3CDTF">2026-05-09T04:17:09Z</dcterms:modified>
</cp:coreProperties>
</file>