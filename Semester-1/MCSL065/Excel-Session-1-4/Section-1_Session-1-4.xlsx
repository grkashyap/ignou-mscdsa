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d29f0eb30c819b/Personal/IGNOU-MSCDSA/Assignments/Semester-1/MCSL-065/Lab/"/>
    </mc:Choice>
  </mc:AlternateContent>
  <xr:revisionPtr revIDLastSave="336" documentId="8_{374302A5-0093-458C-A7B4-E855B9C380F7}" xr6:coauthVersionLast="47" xr6:coauthVersionMax="47" xr10:uidLastSave="{FC8B0A72-788C-4CEE-B024-36D687AE0F9F}"/>
  <bookViews>
    <workbookView xWindow="-135" yWindow="-135" windowWidth="29070" windowHeight="15750" firstSheet="5" activeTab="17" xr2:uid="{3BF08629-3064-414B-B1FD-0BA6258781B4}"/>
  </bookViews>
  <sheets>
    <sheet name="DataSet" sheetId="2" r:id="rId1"/>
    <sheet name="S1-Q1" sheetId="1" r:id="rId2"/>
    <sheet name="S1-Q2" sheetId="3" r:id="rId3"/>
    <sheet name="S1-Q3" sheetId="4" r:id="rId4"/>
    <sheet name="customer_demographic_sales_data" sheetId="6" r:id="rId5"/>
    <sheet name="S2-Q5" sheetId="5" r:id="rId6"/>
    <sheet name="S2-Q6" sheetId="7" r:id="rId7"/>
    <sheet name="Usage_Data_Feedback" sheetId="11" r:id="rId8"/>
    <sheet name="S2-Q7" sheetId="8" r:id="rId9"/>
    <sheet name="S3-Q8" sheetId="12" r:id="rId10"/>
    <sheet name="S3-Q9" sheetId="13" r:id="rId11"/>
    <sheet name="S3-Q10" sheetId="14" r:id="rId12"/>
    <sheet name="S3-Q11" sheetId="15" r:id="rId13"/>
    <sheet name="S3-Q12" sheetId="16" r:id="rId14"/>
    <sheet name="S4-Q13" sheetId="17" r:id="rId15"/>
    <sheet name="S4-Q14" sheetId="18" r:id="rId16"/>
    <sheet name="S4-Q15" sheetId="19" r:id="rId17"/>
    <sheet name="Forecast-sheet" sheetId="20" r:id="rId18"/>
  </sheets>
  <definedNames>
    <definedName name="ExternalData_1" localSheetId="4" hidden="1">'customer_demographic_sales_data'!$A$1:$L$296</definedName>
    <definedName name="ExternalData_1" localSheetId="7" hidden="1">Usage_Data_Feedback!$A$1:$L$73</definedName>
  </definedNames>
  <calcPr calcId="191028"/>
  <pivotCaches>
    <pivotCache cacheId="0" r:id="rId19"/>
    <pivotCache cacheId="1" r:id="rId20"/>
    <pivotCache cacheId="2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milies_07834313-09cb-4eae-989a-125941097e1a" name="Families" connection="Query - Families"/>
          <x15:modelTable id="Feedback_6379403a-a0a8-4a88-bd25-8ec5da28e60d" name="Feedback" connection="Query - Feedback"/>
          <x15:modelTable id="Usage_Data  2_d3257c56-7cef-469c-966b-2f2eb3c04fe9" name="Usage_Data  2" connection="Query - Usage_Data"/>
        </x15:modelTables>
      </x15:dataModel>
    </ext>
  </extLst>
</workbook>
</file>

<file path=xl/calcChain.xml><?xml version="1.0" encoding="utf-8"?>
<calcChain xmlns="http://schemas.openxmlformats.org/spreadsheetml/2006/main">
  <c r="P4" i="19" l="1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C26" i="20"/>
  <c r="C27" i="20"/>
  <c r="C28" i="20"/>
  <c r="C29" i="20"/>
  <c r="D29" i="20" l="1"/>
  <c r="D27" i="20"/>
  <c r="E27" i="20"/>
  <c r="D28" i="20"/>
  <c r="E28" i="20"/>
  <c r="E26" i="20"/>
  <c r="E29" i="20"/>
  <c r="D26" i="20"/>
  <c r="H21" i="14" l="1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B7" i="8"/>
  <c r="B6" i="8"/>
  <c r="B8" i="8" s="1"/>
  <c r="M2" i="11"/>
  <c r="M3" i="11"/>
  <c r="N3" i="11" s="1"/>
  <c r="M4" i="11"/>
  <c r="N4" i="11" s="1"/>
  <c r="M5" i="11"/>
  <c r="N5" i="11" s="1"/>
  <c r="M6" i="11"/>
  <c r="N6" i="11" s="1"/>
  <c r="M7" i="11"/>
  <c r="N7" i="11" s="1"/>
  <c r="M8" i="11"/>
  <c r="N8" i="11" s="1"/>
  <c r="M9" i="11"/>
  <c r="N9" i="11" s="1"/>
  <c r="M10" i="11"/>
  <c r="N10" i="11" s="1"/>
  <c r="M11" i="11"/>
  <c r="N11" i="11" s="1"/>
  <c r="M12" i="11"/>
  <c r="N12" i="11" s="1"/>
  <c r="M13" i="11"/>
  <c r="N13" i="11" s="1"/>
  <c r="M14" i="11"/>
  <c r="N14" i="11" s="1"/>
  <c r="M15" i="11"/>
  <c r="N15" i="11" s="1"/>
  <c r="M16" i="11"/>
  <c r="N16" i="11" s="1"/>
  <c r="M17" i="11"/>
  <c r="N17" i="11" s="1"/>
  <c r="M18" i="11"/>
  <c r="N18" i="11" s="1"/>
  <c r="M19" i="11"/>
  <c r="N19" i="11" s="1"/>
  <c r="M20" i="11"/>
  <c r="N20" i="11" s="1"/>
  <c r="M21" i="11"/>
  <c r="N21" i="11" s="1"/>
  <c r="M22" i="11"/>
  <c r="N22" i="11" s="1"/>
  <c r="M23" i="11"/>
  <c r="N23" i="11" s="1"/>
  <c r="M24" i="11"/>
  <c r="N24" i="11" s="1"/>
  <c r="M25" i="11"/>
  <c r="N25" i="11" s="1"/>
  <c r="M26" i="11"/>
  <c r="N26" i="11" s="1"/>
  <c r="M27" i="11"/>
  <c r="N27" i="11" s="1"/>
  <c r="M28" i="11"/>
  <c r="N28" i="11" s="1"/>
  <c r="M29" i="11"/>
  <c r="N29" i="11" s="1"/>
  <c r="M30" i="11"/>
  <c r="N30" i="11" s="1"/>
  <c r="M31" i="11"/>
  <c r="N31" i="11" s="1"/>
  <c r="M32" i="11"/>
  <c r="N32" i="11" s="1"/>
  <c r="M33" i="11"/>
  <c r="N33" i="11" s="1"/>
  <c r="M34" i="11"/>
  <c r="N34" i="11" s="1"/>
  <c r="M35" i="11"/>
  <c r="N35" i="11" s="1"/>
  <c r="M36" i="11"/>
  <c r="N36" i="11" s="1"/>
  <c r="M37" i="11"/>
  <c r="N37" i="11" s="1"/>
  <c r="M38" i="11"/>
  <c r="N38" i="11" s="1"/>
  <c r="M39" i="11"/>
  <c r="N39" i="11" s="1"/>
  <c r="M40" i="11"/>
  <c r="N40" i="11" s="1"/>
  <c r="M41" i="11"/>
  <c r="N41" i="11" s="1"/>
  <c r="M42" i="11"/>
  <c r="N42" i="11" s="1"/>
  <c r="M43" i="11"/>
  <c r="N43" i="11" s="1"/>
  <c r="M44" i="11"/>
  <c r="N44" i="11" s="1"/>
  <c r="M45" i="11"/>
  <c r="N45" i="11" s="1"/>
  <c r="M46" i="11"/>
  <c r="N46" i="11" s="1"/>
  <c r="M47" i="11"/>
  <c r="N47" i="11" s="1"/>
  <c r="M48" i="11"/>
  <c r="N48" i="11" s="1"/>
  <c r="M49" i="11"/>
  <c r="N49" i="11" s="1"/>
  <c r="M50" i="11"/>
  <c r="N50" i="11" s="1"/>
  <c r="M51" i="11"/>
  <c r="N51" i="11" s="1"/>
  <c r="M52" i="11"/>
  <c r="N52" i="11" s="1"/>
  <c r="M53" i="11"/>
  <c r="N53" i="11" s="1"/>
  <c r="M54" i="11"/>
  <c r="N54" i="11" s="1"/>
  <c r="M55" i="11"/>
  <c r="N55" i="11" s="1"/>
  <c r="M56" i="11"/>
  <c r="N56" i="11" s="1"/>
  <c r="M57" i="11"/>
  <c r="N57" i="11" s="1"/>
  <c r="M58" i="11"/>
  <c r="N58" i="11" s="1"/>
  <c r="M59" i="11"/>
  <c r="N59" i="11" s="1"/>
  <c r="M60" i="11"/>
  <c r="N60" i="11" s="1"/>
  <c r="M61" i="11"/>
  <c r="N61" i="11" s="1"/>
  <c r="M62" i="11"/>
  <c r="N62" i="11" s="1"/>
  <c r="M63" i="11"/>
  <c r="N63" i="11" s="1"/>
  <c r="M64" i="11"/>
  <c r="N64" i="11" s="1"/>
  <c r="M65" i="11"/>
  <c r="N65" i="11" s="1"/>
  <c r="M66" i="11"/>
  <c r="N66" i="11" s="1"/>
  <c r="M67" i="11"/>
  <c r="N67" i="11" s="1"/>
  <c r="M68" i="11"/>
  <c r="N68" i="11" s="1"/>
  <c r="M69" i="11"/>
  <c r="N69" i="11" s="1"/>
  <c r="M70" i="11"/>
  <c r="N70" i="11" s="1"/>
  <c r="M71" i="11"/>
  <c r="N71" i="11" s="1"/>
  <c r="M72" i="11"/>
  <c r="N72" i="11" s="1"/>
  <c r="M73" i="11"/>
  <c r="N73" i="11" s="1"/>
  <c r="J18" i="13"/>
  <c r="J26" i="13" s="1"/>
  <c r="I18" i="13"/>
  <c r="I26" i="13" s="1"/>
  <c r="H18" i="13"/>
  <c r="H26" i="13" s="1"/>
  <c r="J17" i="13"/>
  <c r="J25" i="13" s="1"/>
  <c r="I17" i="13"/>
  <c r="I25" i="13" s="1"/>
  <c r="H17" i="13"/>
  <c r="H25" i="13" s="1"/>
  <c r="J16" i="13"/>
  <c r="J24" i="13" s="1"/>
  <c r="I16" i="13"/>
  <c r="I24" i="13" s="1"/>
  <c r="H16" i="13"/>
  <c r="H24" i="13" s="1"/>
  <c r="H29" i="13" s="1"/>
  <c r="B4" i="8" l="1"/>
  <c r="N2" i="11"/>
  <c r="B5" i="8"/>
  <c r="B2" i="8"/>
  <c r="B3" i="8"/>
  <c r="F8" i="5" l="1"/>
  <c r="F7" i="5"/>
  <c r="F6" i="5"/>
  <c r="F4" i="5"/>
  <c r="F3" i="5"/>
  <c r="F2" i="5"/>
  <c r="J295" i="6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F6" i="3"/>
  <c r="F5" i="3"/>
  <c r="F4" i="3"/>
  <c r="F3" i="3"/>
  <c r="F7" i="3" s="1"/>
  <c r="F2" i="3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E7" i="2"/>
  <c r="E6" i="2"/>
  <c r="E5" i="2"/>
  <c r="E4" i="2"/>
  <c r="E3" i="2"/>
  <c r="G6" i="3" l="1"/>
  <c r="G4" i="3"/>
  <c r="G2" i="3"/>
  <c r="G5" i="3"/>
  <c r="G3" i="3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G2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4614-7D14-4887-8361-FC02B1300FF5}" keepAlive="1" name="Query - customer_demographic_sales_data" description="Connection to the 'customer_demographic_sales_data' query in the workbook." type="5" refreshedVersion="8" background="1" saveData="1">
    <dbPr connection="Provider=Microsoft.Mashup.OleDb.1;Data Source=$Workbook$;Location=customer_demographic_sales_data;Extended Properties=&quot;&quot;" command="SELECT * FROM [customer_demographic_sales_data]"/>
  </connection>
  <connection id="2" xr16:uid="{E9A716F4-6624-4810-952A-68BE81B1A16C}" name="Query - Families" description="Connection to the 'Families' query in the workbook." type="100" refreshedVersion="8" minRefreshableVersion="5">
    <extLst>
      <ext xmlns:x15="http://schemas.microsoft.com/office/spreadsheetml/2010/11/main" uri="{DE250136-89BD-433C-8126-D09CA5730AF9}">
        <x15:connection id="1a035e79-4d00-4d0b-8ab8-de45c57aa1b2">
          <x15:oledbPr connection="Provider=Microsoft.Mashup.OleDb.1;Data Source=$Workbook$;Location=Families;Extended Properties=&quot;&quot;">
            <x15:dbTables>
              <x15:dbTable name="Families"/>
            </x15:dbTables>
          </x15:oledbPr>
        </x15:connection>
      </ext>
    </extLst>
  </connection>
  <connection id="3" xr16:uid="{0052D8C2-7FEB-4367-8B4E-236E1655637A}" name="Query - Feedback" description="Connection to the 'Feedback' query in the workbook." type="100" refreshedVersion="8" minRefreshableVersion="5">
    <extLst>
      <ext xmlns:x15="http://schemas.microsoft.com/office/spreadsheetml/2010/11/main" uri="{DE250136-89BD-433C-8126-D09CA5730AF9}">
        <x15:connection id="07070ca1-8846-4cd7-8ec9-35cd170de589">
          <x15:oledbPr connection="Provider=Microsoft.Mashup.OleDb.1;Data Source=$Workbook$;Location=Feedback;Extended Properties=&quot;&quot;">
            <x15:dbTables>
              <x15:dbTable name="Feedback"/>
            </x15:dbTables>
          </x15:oledbPr>
        </x15:connection>
      </ext>
    </extLst>
  </connection>
  <connection id="4" xr16:uid="{7A1A4F56-AE13-45A4-987C-26875ED6BBD4}" name="Query - Usage_Data" description="Connection to the 'Usage_Data' query in the workbook." type="100" refreshedVersion="8" minRefreshableVersion="5">
    <extLst>
      <ext xmlns:x15="http://schemas.microsoft.com/office/spreadsheetml/2010/11/main" uri="{DE250136-89BD-433C-8126-D09CA5730AF9}">
        <x15:connection id="9975426a-fa03-4ca2-9847-ef90c3ff0722">
          <x15:oledbPr connection="Provider=Microsoft.Mashup.OleDb.1;Data Source=$Workbook$;Location=Usage_Data;Extended Properties=&quot;&quot;">
            <x15:dbTables>
              <x15:dbTable name="Usage_Data"/>
            </x15:dbTables>
          </x15:oledbPr>
        </x15:connection>
      </ext>
    </extLst>
  </connection>
  <connection id="5" xr16:uid="{66876AF4-0641-47E1-9BC8-36DA12E32CAF}" keepAlive="1" name="Query - Usage_Data_Feedback" description="Connection to the 'Usage_Data_Feedback' query in the workbook." type="5" refreshedVersion="8" background="1" saveData="1">
    <dbPr connection="Provider=Microsoft.Mashup.OleDb.1;Data Source=$Workbook$;Location=Usage_Data_Feedback;Extended Properties=&quot;&quot;" command="SELECT * FROM [Usage_Data_Feedback]"/>
  </connection>
  <connection id="6" xr16:uid="{48C6F4BA-A0CA-4CC6-A261-48C684B6ECC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<sst xmlns="http://schemas.openxmlformats.org/spreadsheetml/2006/main" count="2728" uniqueCount="1179">
  <si>
    <t>Student Marks</t>
  </si>
  <si>
    <t>StudentID</t>
  </si>
  <si>
    <t>Marks</t>
  </si>
  <si>
    <t>Category</t>
  </si>
  <si>
    <t>Sales-Q1</t>
  </si>
  <si>
    <t>Sales-Q2</t>
  </si>
  <si>
    <t>Sales-Q3</t>
  </si>
  <si>
    <t>Sales-Q4</t>
  </si>
  <si>
    <t>Month</t>
  </si>
  <si>
    <t>Revenue Data</t>
  </si>
  <si>
    <t>Household</t>
  </si>
  <si>
    <t>Electronics</t>
  </si>
  <si>
    <t>Apparel</t>
  </si>
  <si>
    <t>Pets</t>
  </si>
  <si>
    <t>Groceries</t>
  </si>
  <si>
    <t>Bins</t>
  </si>
  <si>
    <t>Frequency</t>
  </si>
  <si>
    <t>Total Sales for category</t>
  </si>
  <si>
    <t>Percent of Share</t>
  </si>
  <si>
    <t>Total Sales</t>
  </si>
  <si>
    <t>Cumulative Sales</t>
  </si>
  <si>
    <t>Customer_ID</t>
  </si>
  <si>
    <t>Customer_Name</t>
  </si>
  <si>
    <t>Gender</t>
  </si>
  <si>
    <t>Age</t>
  </si>
  <si>
    <t>City</t>
  </si>
  <si>
    <t>Region</t>
  </si>
  <si>
    <t>Product</t>
  </si>
  <si>
    <t>Quantity</t>
  </si>
  <si>
    <t>Unit_Price</t>
  </si>
  <si>
    <t>Sales_Amount</t>
  </si>
  <si>
    <t>Discount_Percent</t>
  </si>
  <si>
    <t>Purchase_Date</t>
  </si>
  <si>
    <t>Purchase_Month</t>
  </si>
  <si>
    <t>Row Labels</t>
  </si>
  <si>
    <t>Sum of Sales_Amount</t>
  </si>
  <si>
    <t>CUST1000</t>
  </si>
  <si>
    <t>Allison Hill</t>
  </si>
  <si>
    <t>Female</t>
  </si>
  <si>
    <t>East Jill</t>
  </si>
  <si>
    <t>South</t>
  </si>
  <si>
    <t>Mobile</t>
  </si>
  <si>
    <t>1977-08</t>
  </si>
  <si>
    <t>CUST1001</t>
  </si>
  <si>
    <t>Kimberly Garza</t>
  </si>
  <si>
    <t>North Claytonbury</t>
  </si>
  <si>
    <t>North</t>
  </si>
  <si>
    <t>Laptop</t>
  </si>
  <si>
    <t>1995-01</t>
  </si>
  <si>
    <t>CUST1002</t>
  </si>
  <si>
    <t>Kristina Baldwin</t>
  </si>
  <si>
    <t>Other</t>
  </si>
  <si>
    <t>Robinsonshire</t>
  </si>
  <si>
    <t>Camera</t>
  </si>
  <si>
    <t>2001-09</t>
  </si>
  <si>
    <t>CUST1003</t>
  </si>
  <si>
    <t>Abigail Shaffer</t>
  </si>
  <si>
    <t>Petersonberg</t>
  </si>
  <si>
    <t>East</t>
  </si>
  <si>
    <t>2011-03</t>
  </si>
  <si>
    <t>CUST1004</t>
  </si>
  <si>
    <t>Gabrielle Davis</t>
  </si>
  <si>
    <t>Male</t>
  </si>
  <si>
    <t>West Melanieview</t>
  </si>
  <si>
    <t>Tablet</t>
  </si>
  <si>
    <t>2021-05</t>
  </si>
  <si>
    <t>CUST1005</t>
  </si>
  <si>
    <t>Joe Martinez</t>
  </si>
  <si>
    <t>Millerport</t>
  </si>
  <si>
    <t>2024-05</t>
  </si>
  <si>
    <t>CUST1006</t>
  </si>
  <si>
    <t>Stacey Ward</t>
  </si>
  <si>
    <t>Lake Chad</t>
  </si>
  <si>
    <t>Smartwatch</t>
  </si>
  <si>
    <t>2024-06</t>
  </si>
  <si>
    <t>CUST1007</t>
  </si>
  <si>
    <t>Dylan Miller</t>
  </si>
  <si>
    <t>Port Craig</t>
  </si>
  <si>
    <t>2024-07</t>
  </si>
  <si>
    <t>CUST1008</t>
  </si>
  <si>
    <t>Roy Martin</t>
  </si>
  <si>
    <t>Jasonview</t>
  </si>
  <si>
    <t>2024-08</t>
  </si>
  <si>
    <t>CUST1009</t>
  </si>
  <si>
    <t>Maria Lynch</t>
  </si>
  <si>
    <t>New Jessica</t>
  </si>
  <si>
    <t>2024-09</t>
  </si>
  <si>
    <t>CUST1010</t>
  </si>
  <si>
    <t>Devin Schaefer</t>
  </si>
  <si>
    <t>Lake Mark</t>
  </si>
  <si>
    <t>2024-10</t>
  </si>
  <si>
    <t>CUST1011</t>
  </si>
  <si>
    <t>Crystal Johnson</t>
  </si>
  <si>
    <t>Richardland</t>
  </si>
  <si>
    <t>2024-11</t>
  </si>
  <si>
    <t>CUST1012</t>
  </si>
  <si>
    <t>Latoya Robbins</t>
  </si>
  <si>
    <t>Lake Victor</t>
  </si>
  <si>
    <t>2024-12</t>
  </si>
  <si>
    <t>CUST1013</t>
  </si>
  <si>
    <t>Judy Baker</t>
  </si>
  <si>
    <t>Lake Anna</t>
  </si>
  <si>
    <t>West</t>
  </si>
  <si>
    <t>2025-01</t>
  </si>
  <si>
    <t>CUST1014</t>
  </si>
  <si>
    <t>Jessica Silva</t>
  </si>
  <si>
    <t>Jeffreyberg</t>
  </si>
  <si>
    <t>2025-02</t>
  </si>
  <si>
    <t>CUST1015</t>
  </si>
  <si>
    <t>Peter Callahan Jr.</t>
  </si>
  <si>
    <t>Port Erin</t>
  </si>
  <si>
    <t>2025-03</t>
  </si>
  <si>
    <t>CUST1016</t>
  </si>
  <si>
    <t>James Ferrell</t>
  </si>
  <si>
    <t>Tashatown</t>
  </si>
  <si>
    <t>2025-04</t>
  </si>
  <si>
    <t>CUST1017</t>
  </si>
  <si>
    <t>Melanie Herrera</t>
  </si>
  <si>
    <t>Kaylamouth</t>
  </si>
  <si>
    <t>2025-05</t>
  </si>
  <si>
    <t>CUST1018</t>
  </si>
  <si>
    <t>Christopher Smith</t>
  </si>
  <si>
    <t>Teresaburgh</t>
  </si>
  <si>
    <t>2025-06</t>
  </si>
  <si>
    <t>CUST1019</t>
  </si>
  <si>
    <t>Sheila Evans</t>
  </si>
  <si>
    <t>East Nathaniel</t>
  </si>
  <si>
    <t>2025-07</t>
  </si>
  <si>
    <t>CUST1020</t>
  </si>
  <si>
    <t>Paula Moreno</t>
  </si>
  <si>
    <t>New Mariotown</t>
  </si>
  <si>
    <t>2025-08</t>
  </si>
  <si>
    <t>CUST1021</t>
  </si>
  <si>
    <t>Sherry Decker</t>
  </si>
  <si>
    <t>Johnbury</t>
  </si>
  <si>
    <t>2025-09</t>
  </si>
  <si>
    <t>CUST1022</t>
  </si>
  <si>
    <t>Angela Dennis</t>
  </si>
  <si>
    <t>Port Amandaberg</t>
  </si>
  <si>
    <t>2025-10</t>
  </si>
  <si>
    <t>CUST1023</t>
  </si>
  <si>
    <t>Theresa Martin</t>
  </si>
  <si>
    <t>Brandtside</t>
  </si>
  <si>
    <t>2025-11</t>
  </si>
  <si>
    <t>CUST1024</t>
  </si>
  <si>
    <t>Christina Collins</t>
  </si>
  <si>
    <t>Samuelhaven</t>
  </si>
  <si>
    <t>2025-12</t>
  </si>
  <si>
    <t>CUST1025</t>
  </si>
  <si>
    <t>Danny Morgan</t>
  </si>
  <si>
    <t>New Jeffrey</t>
  </si>
  <si>
    <t>2026-01</t>
  </si>
  <si>
    <t>CUST1026</t>
  </si>
  <si>
    <t>Amy Jones</t>
  </si>
  <si>
    <t>Port Markhaven</t>
  </si>
  <si>
    <t>2026-02</t>
  </si>
  <si>
    <t>CUST1027</t>
  </si>
  <si>
    <t>John Ryan</t>
  </si>
  <si>
    <t>Sanchezfort</t>
  </si>
  <si>
    <t>2026-03</t>
  </si>
  <si>
    <t>CUST1028</t>
  </si>
  <si>
    <t>Brandon Hopkins</t>
  </si>
  <si>
    <t>Rodneymouth</t>
  </si>
  <si>
    <t>2026-04</t>
  </si>
  <si>
    <t>CUST1029</t>
  </si>
  <si>
    <t>Megan Joyce</t>
  </si>
  <si>
    <t>North Richardmouth</t>
  </si>
  <si>
    <t>2026-05</t>
  </si>
  <si>
    <t>CUST1030</t>
  </si>
  <si>
    <t>Danielle Lee</t>
  </si>
  <si>
    <t>Taylorburgh</t>
  </si>
  <si>
    <t>(blank)</t>
  </si>
  <si>
    <t>CUST1031</t>
  </si>
  <si>
    <t>Shannon Jones</t>
  </si>
  <si>
    <t>North Deniseside</t>
  </si>
  <si>
    <t>Grand Total</t>
  </si>
  <si>
    <t>CUST1032</t>
  </si>
  <si>
    <t>Brandon Molina</t>
  </si>
  <si>
    <t>East Richard</t>
  </si>
  <si>
    <t>CUST1033</t>
  </si>
  <si>
    <t>James Brown</t>
  </si>
  <si>
    <t>Smithfurt</t>
  </si>
  <si>
    <t>CUST1034</t>
  </si>
  <si>
    <t>Rachel Mitchell</t>
  </si>
  <si>
    <t>Mooreport</t>
  </si>
  <si>
    <t>CUST1035</t>
  </si>
  <si>
    <t>Lauren Daniels</t>
  </si>
  <si>
    <t>Brianshire</t>
  </si>
  <si>
    <t>Headphones</t>
  </si>
  <si>
    <t>CUST1036</t>
  </si>
  <si>
    <t>Sarah Moore</t>
  </si>
  <si>
    <t>Port Jacobland</t>
  </si>
  <si>
    <t>CUST1037</t>
  </si>
  <si>
    <t>Jennifer David</t>
  </si>
  <si>
    <t>New Brooke</t>
  </si>
  <si>
    <t>CUST1038</t>
  </si>
  <si>
    <t>Matthew Cunningham</t>
  </si>
  <si>
    <t>Sarahborough</t>
  </si>
  <si>
    <t>CUST1039</t>
  </si>
  <si>
    <t>Cynthia Foster</t>
  </si>
  <si>
    <t>Stephenland</t>
  </si>
  <si>
    <t>CUST1040</t>
  </si>
  <si>
    <t>Zachary Ferrell</t>
  </si>
  <si>
    <t>New Jasonview</t>
  </si>
  <si>
    <t>CUST1041</t>
  </si>
  <si>
    <t>Shirley Suarez</t>
  </si>
  <si>
    <t>Justinmouth</t>
  </si>
  <si>
    <t>CUST1042</t>
  </si>
  <si>
    <t>Elizabeth Riggs</t>
  </si>
  <si>
    <t>Lake Lisaport</t>
  </si>
  <si>
    <t>CUST1043</t>
  </si>
  <si>
    <t>Teresa Taylor</t>
  </si>
  <si>
    <t>North Juliaberg</t>
  </si>
  <si>
    <t>CUST1044</t>
  </si>
  <si>
    <t>Daniel Cooper</t>
  </si>
  <si>
    <t>Williamview</t>
  </si>
  <si>
    <t>CUST1045</t>
  </si>
  <si>
    <t>Amber Walters</t>
  </si>
  <si>
    <t>Bradleymouth</t>
  </si>
  <si>
    <t>CUST1046</t>
  </si>
  <si>
    <t>William Martin</t>
  </si>
  <si>
    <t>Arnoldchester</t>
  </si>
  <si>
    <t>CUST1047</t>
  </si>
  <si>
    <t>Benjamin Ware</t>
  </si>
  <si>
    <t>New Barry</t>
  </si>
  <si>
    <t>CUST1048</t>
  </si>
  <si>
    <t>Brittany Anderson</t>
  </si>
  <si>
    <t>Michaelton</t>
  </si>
  <si>
    <t>CUST1049</t>
  </si>
  <si>
    <t>Michael Estrada</t>
  </si>
  <si>
    <t>Kimberlychester</t>
  </si>
  <si>
    <t>CUST1050</t>
  </si>
  <si>
    <t>Tammy Young</t>
  </si>
  <si>
    <t>Port Lisa</t>
  </si>
  <si>
    <t>CUST1051</t>
  </si>
  <si>
    <t>Christopher Middleton</t>
  </si>
  <si>
    <t>Phambury</t>
  </si>
  <si>
    <t>CUST1052</t>
  </si>
  <si>
    <t>Michael Reyes</t>
  </si>
  <si>
    <t>Port Thomasborough</t>
  </si>
  <si>
    <t>CUST1053</t>
  </si>
  <si>
    <t>Hannah Hoover</t>
  </si>
  <si>
    <t>East Andrew</t>
  </si>
  <si>
    <t>CUST1054</t>
  </si>
  <si>
    <t>Donald Jones</t>
  </si>
  <si>
    <t>Michaelhaven</t>
  </si>
  <si>
    <t>CUST1055</t>
  </si>
  <si>
    <t>Sarah Rivera</t>
  </si>
  <si>
    <t>North Natalieview</t>
  </si>
  <si>
    <t>CUST1056</t>
  </si>
  <si>
    <t>Victoria Johnson</t>
  </si>
  <si>
    <t>Reedmouth</t>
  </si>
  <si>
    <t>CUST1057</t>
  </si>
  <si>
    <t>Kayla Cruz</t>
  </si>
  <si>
    <t>West Bradley</t>
  </si>
  <si>
    <t>CUST1058</t>
  </si>
  <si>
    <t>Timothy Ryan</t>
  </si>
  <si>
    <t>West Ryan</t>
  </si>
  <si>
    <t>CUST1059</t>
  </si>
  <si>
    <t>Lisa Alvarado</t>
  </si>
  <si>
    <t>Lake Rachelhaven</t>
  </si>
  <si>
    <t>CUST1060</t>
  </si>
  <si>
    <t>Erika Terry</t>
  </si>
  <si>
    <t>East Robert</t>
  </si>
  <si>
    <t>CUST1061</t>
  </si>
  <si>
    <t>Paul Thompson</t>
  </si>
  <si>
    <t>Richardtown</t>
  </si>
  <si>
    <t>CUST1062</t>
  </si>
  <si>
    <t>Jeffrey Carpenter</t>
  </si>
  <si>
    <t>Stevenmouth</t>
  </si>
  <si>
    <t>CUST1063</t>
  </si>
  <si>
    <t>John Santana</t>
  </si>
  <si>
    <t>Lake Christopher</t>
  </si>
  <si>
    <t>CUST1064</t>
  </si>
  <si>
    <t>Lisa Davis</t>
  </si>
  <si>
    <t>Lake Lance</t>
  </si>
  <si>
    <t>CUST1065</t>
  </si>
  <si>
    <t>Alexander Sanchez</t>
  </si>
  <si>
    <t>Carrland</t>
  </si>
  <si>
    <t>CUST1066</t>
  </si>
  <si>
    <t>Mark Lee</t>
  </si>
  <si>
    <t>Snyderbury</t>
  </si>
  <si>
    <t>CUST1067</t>
  </si>
  <si>
    <t>Abigail Potter</t>
  </si>
  <si>
    <t>Port Ronaldburgh</t>
  </si>
  <si>
    <t>CUST1068</t>
  </si>
  <si>
    <t>Kelly Williams</t>
  </si>
  <si>
    <t>Port David</t>
  </si>
  <si>
    <t>CUST1069</t>
  </si>
  <si>
    <t>Mary Travis</t>
  </si>
  <si>
    <t>Stephaniemouth</t>
  </si>
  <si>
    <t>CUST1070</t>
  </si>
  <si>
    <t>Stephanie Simmons</t>
  </si>
  <si>
    <t>Merrittfort</t>
  </si>
  <si>
    <t>CUST1071</t>
  </si>
  <si>
    <t>David Walsh</t>
  </si>
  <si>
    <t>Simsview</t>
  </si>
  <si>
    <t>CUST1072</t>
  </si>
  <si>
    <t>Dustin Nelson</t>
  </si>
  <si>
    <t>Patricialand</t>
  </si>
  <si>
    <t>CUST1073</t>
  </si>
  <si>
    <t>James Hernandez</t>
  </si>
  <si>
    <t>North Robert</t>
  </si>
  <si>
    <t>CUST1074</t>
  </si>
  <si>
    <t>Jennifer Clark</t>
  </si>
  <si>
    <t>Priceshire</t>
  </si>
  <si>
    <t>CUST1075</t>
  </si>
  <si>
    <t>Spencer Johnston</t>
  </si>
  <si>
    <t>Smithstad</t>
  </si>
  <si>
    <t>CUST1076</t>
  </si>
  <si>
    <t>Sarah Ashley</t>
  </si>
  <si>
    <t>Medinaside</t>
  </si>
  <si>
    <t>CUST1077</t>
  </si>
  <si>
    <t>Connie Robinson</t>
  </si>
  <si>
    <t>Tuckerfurt</t>
  </si>
  <si>
    <t>CUST1078</t>
  </si>
  <si>
    <t>Rebecca Ramsey</t>
  </si>
  <si>
    <t>Calhounside</t>
  </si>
  <si>
    <t>CUST1079</t>
  </si>
  <si>
    <t>Leslie Alvarado</t>
  </si>
  <si>
    <t>Lake Roymouth</t>
  </si>
  <si>
    <t>CUST1080</t>
  </si>
  <si>
    <t>James Lewis</t>
  </si>
  <si>
    <t>Matthewfurt</t>
  </si>
  <si>
    <t>CUST1081</t>
  </si>
  <si>
    <t>Sandra King</t>
  </si>
  <si>
    <t>South Andrewside</t>
  </si>
  <si>
    <t>CUST1082</t>
  </si>
  <si>
    <t>Mrs. Marie Harrington DDS</t>
  </si>
  <si>
    <t>East Jamestown</t>
  </si>
  <si>
    <t>CUST1083</t>
  </si>
  <si>
    <t>Cameron Caldwell</t>
  </si>
  <si>
    <t>South Holly</t>
  </si>
  <si>
    <t>CUST1084</t>
  </si>
  <si>
    <t>Larry Stuart</t>
  </si>
  <si>
    <t>Port Loriport</t>
  </si>
  <si>
    <t>CUST1085</t>
  </si>
  <si>
    <t>Tanya Johnston</t>
  </si>
  <si>
    <t>Sandersborough</t>
  </si>
  <si>
    <t>CUST1086</t>
  </si>
  <si>
    <t>Sandra Sanchez</t>
  </si>
  <si>
    <t>Melissaville</t>
  </si>
  <si>
    <t>CUST1087</t>
  </si>
  <si>
    <t>Dr. Hannah Patterson</t>
  </si>
  <si>
    <t>Caseymouth</t>
  </si>
  <si>
    <t>CUST1088</t>
  </si>
  <si>
    <t>Samantha Garcia</t>
  </si>
  <si>
    <t>Cynthiamouth</t>
  </si>
  <si>
    <t>CUST1089</t>
  </si>
  <si>
    <t>Christopher Boyd</t>
  </si>
  <si>
    <t>Christinaside</t>
  </si>
  <si>
    <t>CUST1090</t>
  </si>
  <si>
    <t>Mr. Nicholas Adams</t>
  </si>
  <si>
    <t>Port Sarah</t>
  </si>
  <si>
    <t>CUST1091</t>
  </si>
  <si>
    <t>Dana Marshall</t>
  </si>
  <si>
    <t>Rogersfort</t>
  </si>
  <si>
    <t>CUST1092</t>
  </si>
  <si>
    <t>John Kelly</t>
  </si>
  <si>
    <t>Matthewview</t>
  </si>
  <si>
    <t>CUST1093</t>
  </si>
  <si>
    <t>Travis Miller</t>
  </si>
  <si>
    <t>Freemanbury</t>
  </si>
  <si>
    <t>CUST1094</t>
  </si>
  <si>
    <t>Michael West</t>
  </si>
  <si>
    <t>North Kellyfurt</t>
  </si>
  <si>
    <t>CUST1095</t>
  </si>
  <si>
    <t>Matthew Wood</t>
  </si>
  <si>
    <t>Ronaldside</t>
  </si>
  <si>
    <t>CUST1096</t>
  </si>
  <si>
    <t>Jesse Parker</t>
  </si>
  <si>
    <t>North Jennifer</t>
  </si>
  <si>
    <t>CUST1097</t>
  </si>
  <si>
    <t>Joshua Gill</t>
  </si>
  <si>
    <t>East Javier</t>
  </si>
  <si>
    <t>CUST1098</t>
  </si>
  <si>
    <t>Kevin Wolf</t>
  </si>
  <si>
    <t>Tinaborough</t>
  </si>
  <si>
    <t>CUST1099</t>
  </si>
  <si>
    <t>West Brandon</t>
  </si>
  <si>
    <t>CUST1100</t>
  </si>
  <si>
    <t>Melissa Martinez</t>
  </si>
  <si>
    <t>Garciatown</t>
  </si>
  <si>
    <t>CUST1101</t>
  </si>
  <si>
    <t>John Peterson</t>
  </si>
  <si>
    <t>West Shelleyfort</t>
  </si>
  <si>
    <t>CUST1102</t>
  </si>
  <si>
    <t>Jennifer Jones</t>
  </si>
  <si>
    <t>East Edwardshire</t>
  </si>
  <si>
    <t>CUST1103</t>
  </si>
  <si>
    <t>David Grant</t>
  </si>
  <si>
    <t>Obrienbury</t>
  </si>
  <si>
    <t>CUST1104</t>
  </si>
  <si>
    <t>Joanna Ramos</t>
  </si>
  <si>
    <t>Torreston</t>
  </si>
  <si>
    <t>CUST1105</t>
  </si>
  <si>
    <t>Annette Farmer</t>
  </si>
  <si>
    <t>West Donna</t>
  </si>
  <si>
    <t>CUST1106</t>
  </si>
  <si>
    <t>Juan Moore</t>
  </si>
  <si>
    <t>Hayesfort</t>
  </si>
  <si>
    <t>CUST1107</t>
  </si>
  <si>
    <t>Dwayne Campbell</t>
  </si>
  <si>
    <t>Jonesbury</t>
  </si>
  <si>
    <t>CUST1108</t>
  </si>
  <si>
    <t>Rick Lawrence</t>
  </si>
  <si>
    <t>South Danny</t>
  </si>
  <si>
    <t>CUST1109</t>
  </si>
  <si>
    <t>Susan Serrano</t>
  </si>
  <si>
    <t>North Gabrielport</t>
  </si>
  <si>
    <t>CUST1110</t>
  </si>
  <si>
    <t>Laura Roberts</t>
  </si>
  <si>
    <t>South Haleyfurt</t>
  </si>
  <si>
    <t>CUST1111</t>
  </si>
  <si>
    <t>Katherine Miller</t>
  </si>
  <si>
    <t>South Jessicaview</t>
  </si>
  <si>
    <t>CUST1112</t>
  </si>
  <si>
    <t>Vernon Huff</t>
  </si>
  <si>
    <t>Port Emilyview</t>
  </si>
  <si>
    <t>CUST1113</t>
  </si>
  <si>
    <t>Peter Ruiz</t>
  </si>
  <si>
    <t>Moonburgh</t>
  </si>
  <si>
    <t>CUST1114</t>
  </si>
  <si>
    <t>Robert Costa</t>
  </si>
  <si>
    <t>Baileymouth</t>
  </si>
  <si>
    <t>CUST1115</t>
  </si>
  <si>
    <t>Shannon Rivera</t>
  </si>
  <si>
    <t>Robertsfurt</t>
  </si>
  <si>
    <t>CUST1116</t>
  </si>
  <si>
    <t>Amanda Miller</t>
  </si>
  <si>
    <t>Marcusfurt</t>
  </si>
  <si>
    <t>CUST1117</t>
  </si>
  <si>
    <t>Virginia Sandoval</t>
  </si>
  <si>
    <t>Gutierrezborough</t>
  </si>
  <si>
    <t>CUST1118</t>
  </si>
  <si>
    <t>Peter Garrett</t>
  </si>
  <si>
    <t>East Josephberg</t>
  </si>
  <si>
    <t>CUST1119</t>
  </si>
  <si>
    <t>Stanley Washington</t>
  </si>
  <si>
    <t>Lake Chelseabury</t>
  </si>
  <si>
    <t>CUST1120</t>
  </si>
  <si>
    <t>Juan Tran</t>
  </si>
  <si>
    <t>East Victoriaville</t>
  </si>
  <si>
    <t>CUST1121</t>
  </si>
  <si>
    <t>Maria Moore</t>
  </si>
  <si>
    <t>CUST1122</t>
  </si>
  <si>
    <t>Veronica Sanchez</t>
  </si>
  <si>
    <t>South James</t>
  </si>
  <si>
    <t>CUST1123</t>
  </si>
  <si>
    <t>Sherry Shields</t>
  </si>
  <si>
    <t>Kendrachester</t>
  </si>
  <si>
    <t>CUST1124</t>
  </si>
  <si>
    <t>Katie Hoover</t>
  </si>
  <si>
    <t>Jessicashire</t>
  </si>
  <si>
    <t>CUST1125</t>
  </si>
  <si>
    <t>Mrs. Brittany Ryan MD</t>
  </si>
  <si>
    <t>Gibsonmouth</t>
  </si>
  <si>
    <t>CUST1126</t>
  </si>
  <si>
    <t>Michael Armstrong</t>
  </si>
  <si>
    <t>Port Kimberly</t>
  </si>
  <si>
    <t>CUST1127</t>
  </si>
  <si>
    <t>John Mcintyre</t>
  </si>
  <si>
    <t>Hughesberg</t>
  </si>
  <si>
    <t>CUST1128</t>
  </si>
  <si>
    <t>Beth Sanford</t>
  </si>
  <si>
    <t>Mollymouth</t>
  </si>
  <si>
    <t>CUST1129</t>
  </si>
  <si>
    <t>Joyce Bowen</t>
  </si>
  <si>
    <t>Pittsberg</t>
  </si>
  <si>
    <t>CUST1130</t>
  </si>
  <si>
    <t>Wayne Morgan</t>
  </si>
  <si>
    <t>Santosmouth</t>
  </si>
  <si>
    <t>CUST1131</t>
  </si>
  <si>
    <t>Kimberly Finley</t>
  </si>
  <si>
    <t>Brennanton</t>
  </si>
  <si>
    <t>CUST1132</t>
  </si>
  <si>
    <t>Mark Mccall</t>
  </si>
  <si>
    <t>CUST1133</t>
  </si>
  <si>
    <t>Michele Garcia</t>
  </si>
  <si>
    <t>Lake Kevin</t>
  </si>
  <si>
    <t>CUST1134</t>
  </si>
  <si>
    <t>Robert Carter</t>
  </si>
  <si>
    <t>Ryanbury</t>
  </si>
  <si>
    <t>CUST1135</t>
  </si>
  <si>
    <t>Michael White</t>
  </si>
  <si>
    <t>North Chelsea</t>
  </si>
  <si>
    <t>CUST1136</t>
  </si>
  <si>
    <t>Cynthia Durham</t>
  </si>
  <si>
    <t>East Steven</t>
  </si>
  <si>
    <t>CUST1137</t>
  </si>
  <si>
    <t>Michael Nolan</t>
  </si>
  <si>
    <t>Santanaside</t>
  </si>
  <si>
    <t>CUST1138</t>
  </si>
  <si>
    <t>Tony Huerta</t>
  </si>
  <si>
    <t>Daniellechester</t>
  </si>
  <si>
    <t>CUST1139</t>
  </si>
  <si>
    <t>Ryan Gonzalez</t>
  </si>
  <si>
    <t>Castanedaville</t>
  </si>
  <si>
    <t>CUST1140</t>
  </si>
  <si>
    <t>Ian Phillips</t>
  </si>
  <si>
    <t>Andrewfurt</t>
  </si>
  <si>
    <t>CUST1141</t>
  </si>
  <si>
    <t>Sean Osborne</t>
  </si>
  <si>
    <t>New Julieport</t>
  </si>
  <si>
    <t>CUST1142</t>
  </si>
  <si>
    <t>Lisa Gomez</t>
  </si>
  <si>
    <t>New John</t>
  </si>
  <si>
    <t>CUST1143</t>
  </si>
  <si>
    <t>Mary Massey</t>
  </si>
  <si>
    <t>Lake Debbieport</t>
  </si>
  <si>
    <t>CUST1144</t>
  </si>
  <si>
    <t>Kevin Oconnor</t>
  </si>
  <si>
    <t>West Markchester</t>
  </si>
  <si>
    <t>CUST1145</t>
  </si>
  <si>
    <t>Richard Walter</t>
  </si>
  <si>
    <t>Alyssaview</t>
  </si>
  <si>
    <t>CUST1146</t>
  </si>
  <si>
    <t>Thomas Raymond</t>
  </si>
  <si>
    <t>Juliemouth</t>
  </si>
  <si>
    <t>CUST1147</t>
  </si>
  <si>
    <t>Victor Taylor</t>
  </si>
  <si>
    <t>Port Erica</t>
  </si>
  <si>
    <t>CUST1148</t>
  </si>
  <si>
    <t>Tracy Ballard</t>
  </si>
  <si>
    <t>Christopherfurt</t>
  </si>
  <si>
    <t>CUST1149</t>
  </si>
  <si>
    <t>Caleb Richardson</t>
  </si>
  <si>
    <t>Brendastad</t>
  </si>
  <si>
    <t>CUST1150</t>
  </si>
  <si>
    <t>Kaitlyn Harvey</t>
  </si>
  <si>
    <t>Rosebury</t>
  </si>
  <si>
    <t>CUST1151</t>
  </si>
  <si>
    <t>Rodney Blankenship</t>
  </si>
  <si>
    <t>Debraville</t>
  </si>
  <si>
    <t>CUST1152</t>
  </si>
  <si>
    <t>Andrew Ferrell</t>
  </si>
  <si>
    <t>North Jimmyside</t>
  </si>
  <si>
    <t>CUST1153</t>
  </si>
  <si>
    <t>Jacob Avery</t>
  </si>
  <si>
    <t>Matthewsberg</t>
  </si>
  <si>
    <t>CUST1154</t>
  </si>
  <si>
    <t>Brett Burns</t>
  </si>
  <si>
    <t>Crosbyview</t>
  </si>
  <si>
    <t>CUST1155</t>
  </si>
  <si>
    <t>Claudia Wallace</t>
  </si>
  <si>
    <t>Port Michael</t>
  </si>
  <si>
    <t>CUST1156</t>
  </si>
  <si>
    <t>Steven Newman</t>
  </si>
  <si>
    <t>South Joshuaville</t>
  </si>
  <si>
    <t>CUST1157</t>
  </si>
  <si>
    <t>Anna Lewis</t>
  </si>
  <si>
    <t>North Kristinbury</t>
  </si>
  <si>
    <t>CUST1158</t>
  </si>
  <si>
    <t>Christine Gallegos</t>
  </si>
  <si>
    <t>New Jason</t>
  </si>
  <si>
    <t>CUST1159</t>
  </si>
  <si>
    <t>Raymond Kramer</t>
  </si>
  <si>
    <t>West Micheleberg</t>
  </si>
  <si>
    <t>CUST1160</t>
  </si>
  <si>
    <t>Rebecca Rodriguez</t>
  </si>
  <si>
    <t>East Alexisbury</t>
  </si>
  <si>
    <t>CUST1161</t>
  </si>
  <si>
    <t>Christopher Williams</t>
  </si>
  <si>
    <t>Foxland</t>
  </si>
  <si>
    <t>CUST1162</t>
  </si>
  <si>
    <t>Ivan Wheeler</t>
  </si>
  <si>
    <t>Gordonton</t>
  </si>
  <si>
    <t>CUST1163</t>
  </si>
  <si>
    <t>Sharon Boyd</t>
  </si>
  <si>
    <t>Schneidertown</t>
  </si>
  <si>
    <t>CUST1164</t>
  </si>
  <si>
    <t>Dr. Jessica Rodriguez DDS</t>
  </si>
  <si>
    <t>Jonesland</t>
  </si>
  <si>
    <t>CUST1165</t>
  </si>
  <si>
    <t>Ana Hill</t>
  </si>
  <si>
    <t>Oscarhaven</t>
  </si>
  <si>
    <t>CUST1166</t>
  </si>
  <si>
    <t>Larry Garcia</t>
  </si>
  <si>
    <t>Port Dianaside</t>
  </si>
  <si>
    <t>CUST1167</t>
  </si>
  <si>
    <t>Jessica Beasley</t>
  </si>
  <si>
    <t>Morganmouth</t>
  </si>
  <si>
    <t>CUST1168</t>
  </si>
  <si>
    <t>Brandon Simmons</t>
  </si>
  <si>
    <t>Nicholasberg</t>
  </si>
  <si>
    <t>CUST1169</t>
  </si>
  <si>
    <t>Andrea Decker</t>
  </si>
  <si>
    <t>South Colinstad</t>
  </si>
  <si>
    <t>CUST1170</t>
  </si>
  <si>
    <t>Anthony Frye</t>
  </si>
  <si>
    <t>Elizabethchester</t>
  </si>
  <si>
    <t>CUST1171</t>
  </si>
  <si>
    <t>Teresa Henderson</t>
  </si>
  <si>
    <t>West Carolinestad</t>
  </si>
  <si>
    <t>CUST1172</t>
  </si>
  <si>
    <t>Christy Douglas</t>
  </si>
  <si>
    <t>Port Daniel</t>
  </si>
  <si>
    <t>CUST1173</t>
  </si>
  <si>
    <t>Ashley Ramirez</t>
  </si>
  <si>
    <t>Port Roy</t>
  </si>
  <si>
    <t>CUST1174</t>
  </si>
  <si>
    <t>Sabrina Austin</t>
  </si>
  <si>
    <t>New Sarahview</t>
  </si>
  <si>
    <t>CUST1175</t>
  </si>
  <si>
    <t>Michael Parker</t>
  </si>
  <si>
    <t>Michaelburgh</t>
  </si>
  <si>
    <t>CUST1176</t>
  </si>
  <si>
    <t>Matthew Jones</t>
  </si>
  <si>
    <t>North Julieborough</t>
  </si>
  <si>
    <t>CUST1177</t>
  </si>
  <si>
    <t>Glen Wood</t>
  </si>
  <si>
    <t>Kimberlyshire</t>
  </si>
  <si>
    <t>CUST1178</t>
  </si>
  <si>
    <t>Anthony Moore</t>
  </si>
  <si>
    <t>Lake Christophermouth</t>
  </si>
  <si>
    <t>CUST1179</t>
  </si>
  <si>
    <t>Lawrence Perry</t>
  </si>
  <si>
    <t>Port William</t>
  </si>
  <si>
    <t>CUST1180</t>
  </si>
  <si>
    <t>Douglas Gregory</t>
  </si>
  <si>
    <t>Roseport</t>
  </si>
  <si>
    <t>CUST1181</t>
  </si>
  <si>
    <t>William Brown</t>
  </si>
  <si>
    <t>West Sierra</t>
  </si>
  <si>
    <t>CUST1182</t>
  </si>
  <si>
    <t>David Murphy</t>
  </si>
  <si>
    <t>South Julieburgh</t>
  </si>
  <si>
    <t>CUST1183</t>
  </si>
  <si>
    <t>Michael Mason</t>
  </si>
  <si>
    <t>Charleston</t>
  </si>
  <si>
    <t>CUST1184</t>
  </si>
  <si>
    <t>Thomas Atkins</t>
  </si>
  <si>
    <t>Berrychester</t>
  </si>
  <si>
    <t>CUST1185</t>
  </si>
  <si>
    <t>Alex Nguyen</t>
  </si>
  <si>
    <t>Collierstad</t>
  </si>
  <si>
    <t>CUST1186</t>
  </si>
  <si>
    <t>Brian Graham</t>
  </si>
  <si>
    <t>Warrenfurt</t>
  </si>
  <si>
    <t>CUST1187</t>
  </si>
  <si>
    <t>Gerald Cook</t>
  </si>
  <si>
    <t>North William</t>
  </si>
  <si>
    <t>CUST1188</t>
  </si>
  <si>
    <t>Cheyenne Parsons</t>
  </si>
  <si>
    <t>Jessicaberg</t>
  </si>
  <si>
    <t>CUST1189</t>
  </si>
  <si>
    <t>David Thompson</t>
  </si>
  <si>
    <t>Port Katherine</t>
  </si>
  <si>
    <t>CUST1190</t>
  </si>
  <si>
    <t>Raymond Snyder</t>
  </si>
  <si>
    <t>Maldonadoshire</t>
  </si>
  <si>
    <t>CUST1191</t>
  </si>
  <si>
    <t>Lori Lin</t>
  </si>
  <si>
    <t>Edwardland</t>
  </si>
  <si>
    <t>CUST1192</t>
  </si>
  <si>
    <t>Eric Hill</t>
  </si>
  <si>
    <t>West Williamport</t>
  </si>
  <si>
    <t>CUST1193</t>
  </si>
  <si>
    <t>Anthony Decker</t>
  </si>
  <si>
    <t>Lake Michelleland</t>
  </si>
  <si>
    <t>CUST1194</t>
  </si>
  <si>
    <t>Janice Carpenter</t>
  </si>
  <si>
    <t>South Reginashire</t>
  </si>
  <si>
    <t>CUST1195</t>
  </si>
  <si>
    <t>Larry Mason</t>
  </si>
  <si>
    <t>South Dalemouth</t>
  </si>
  <si>
    <t>CUST1196</t>
  </si>
  <si>
    <t>Matthew Williams</t>
  </si>
  <si>
    <t>Ritterhaven</t>
  </si>
  <si>
    <t>CUST1197</t>
  </si>
  <si>
    <t>Helen Hardin</t>
  </si>
  <si>
    <t>Ortizmouth</t>
  </si>
  <si>
    <t>CUST1198</t>
  </si>
  <si>
    <t>Rachel Holland</t>
  </si>
  <si>
    <t>West Codyfurt</t>
  </si>
  <si>
    <t>CUST1199</t>
  </si>
  <si>
    <t>Samuel Brandt</t>
  </si>
  <si>
    <t>West Christopher</t>
  </si>
  <si>
    <t>CUST1200</t>
  </si>
  <si>
    <t>Gregory Ponce</t>
  </si>
  <si>
    <t>Andersonland</t>
  </si>
  <si>
    <t>CUST1201</t>
  </si>
  <si>
    <t>Maria Murphy</t>
  </si>
  <si>
    <t>Lake Jacqueline</t>
  </si>
  <si>
    <t>CUST1202</t>
  </si>
  <si>
    <t>Susan Davis DDS</t>
  </si>
  <si>
    <t>Andrewport</t>
  </si>
  <si>
    <t>CUST1203</t>
  </si>
  <si>
    <t>Gloria Miranda</t>
  </si>
  <si>
    <t>East Zoe</t>
  </si>
  <si>
    <t>CUST1204</t>
  </si>
  <si>
    <t>Ryan Garcia</t>
  </si>
  <si>
    <t>Lake Matthewberg</t>
  </si>
  <si>
    <t>CUST1205</t>
  </si>
  <si>
    <t>Christopher Guerra</t>
  </si>
  <si>
    <t>Lake Samuel</t>
  </si>
  <si>
    <t>CUST1206</t>
  </si>
  <si>
    <t>Nathan Montes</t>
  </si>
  <si>
    <t>Karenmouth</t>
  </si>
  <si>
    <t>CUST1207</t>
  </si>
  <si>
    <t>Emily Stokes</t>
  </si>
  <si>
    <t>Mckeeborough</t>
  </si>
  <si>
    <t>CUST1208</t>
  </si>
  <si>
    <t>Laura Alexander</t>
  </si>
  <si>
    <t>Kimberlyhaven</t>
  </si>
  <si>
    <t>CUST1209</t>
  </si>
  <si>
    <t>Christopher Gonzalez</t>
  </si>
  <si>
    <t>Port John</t>
  </si>
  <si>
    <t>CUST1210</t>
  </si>
  <si>
    <t>Mr. Timothy Dawson</t>
  </si>
  <si>
    <t>West Christopherburgh</t>
  </si>
  <si>
    <t>CUST1211</t>
  </si>
  <si>
    <t>Jose Guerra</t>
  </si>
  <si>
    <t>East Lisastad</t>
  </si>
  <si>
    <t>CUST1212</t>
  </si>
  <si>
    <t>Anthony Shaw</t>
  </si>
  <si>
    <t>South Virginia</t>
  </si>
  <si>
    <t>CUST1213</t>
  </si>
  <si>
    <t>Fernando Garcia</t>
  </si>
  <si>
    <t>Laceyberg</t>
  </si>
  <si>
    <t>CUST1214</t>
  </si>
  <si>
    <t>Ronald Horton</t>
  </si>
  <si>
    <t>Port Janice</t>
  </si>
  <si>
    <t>CUST1215</t>
  </si>
  <si>
    <t>Susan Smith</t>
  </si>
  <si>
    <t>Port Edward</t>
  </si>
  <si>
    <t>CUST1216</t>
  </si>
  <si>
    <t>Kelsey Rodriguez</t>
  </si>
  <si>
    <t>Johnville</t>
  </si>
  <si>
    <t>CUST1217</t>
  </si>
  <si>
    <t>Mark Dean</t>
  </si>
  <si>
    <t>North Maryfort</t>
  </si>
  <si>
    <t>CUST1218</t>
  </si>
  <si>
    <t>Lynn Andrews</t>
  </si>
  <si>
    <t>West Ruben</t>
  </si>
  <si>
    <t>CUST1219</t>
  </si>
  <si>
    <t>Kenneth Lopez</t>
  </si>
  <si>
    <t>New Theresaland</t>
  </si>
  <si>
    <t>CUST1220</t>
  </si>
  <si>
    <t>Rachel Romero</t>
  </si>
  <si>
    <t>South Morganton</t>
  </si>
  <si>
    <t>CUST1221</t>
  </si>
  <si>
    <t>James Burgess</t>
  </si>
  <si>
    <t>Kristinastad</t>
  </si>
  <si>
    <t>CUST1222</t>
  </si>
  <si>
    <t>Lori Ingram</t>
  </si>
  <si>
    <t>Dennisstad</t>
  </si>
  <si>
    <t>CUST1223</t>
  </si>
  <si>
    <t>Marvin Greer</t>
  </si>
  <si>
    <t>Pollardfort</t>
  </si>
  <si>
    <t>CUST1224</t>
  </si>
  <si>
    <t>Chad Baldwin</t>
  </si>
  <si>
    <t>Johnsonborough</t>
  </si>
  <si>
    <t>CUST1225</t>
  </si>
  <si>
    <t>Stacey Stewart</t>
  </si>
  <si>
    <t>Zacharyside</t>
  </si>
  <si>
    <t>CUST1226</t>
  </si>
  <si>
    <t>Paul Lee</t>
  </si>
  <si>
    <t>Michelleton</t>
  </si>
  <si>
    <t>CUST1227</t>
  </si>
  <si>
    <t>Denise Lloyd</t>
  </si>
  <si>
    <t>Prestonmouth</t>
  </si>
  <si>
    <t>CUST1228</t>
  </si>
  <si>
    <t>Gina Lopez</t>
  </si>
  <si>
    <t>Richardsonhaven</t>
  </si>
  <si>
    <t>CUST1229</t>
  </si>
  <si>
    <t>Monica Miller</t>
  </si>
  <si>
    <t>New Kelly</t>
  </si>
  <si>
    <t>CUST1230</t>
  </si>
  <si>
    <t>Matthew Parker</t>
  </si>
  <si>
    <t>Jacksonmouth</t>
  </si>
  <si>
    <t>CUST1231</t>
  </si>
  <si>
    <t>Nicholas Buck</t>
  </si>
  <si>
    <t>Hillton</t>
  </si>
  <si>
    <t>CUST1232</t>
  </si>
  <si>
    <t>Jennifer Palmer</t>
  </si>
  <si>
    <t>North Douglas</t>
  </si>
  <si>
    <t>CUST1233</t>
  </si>
  <si>
    <t>Jessica Martinez</t>
  </si>
  <si>
    <t>Port Deanna</t>
  </si>
  <si>
    <t>CUST1234</t>
  </si>
  <si>
    <t>Keith Jacobs</t>
  </si>
  <si>
    <t>Rushstad</t>
  </si>
  <si>
    <t>CUST1235</t>
  </si>
  <si>
    <t>Laura Moreno</t>
  </si>
  <si>
    <t>Edwardsview</t>
  </si>
  <si>
    <t>CUST1236</t>
  </si>
  <si>
    <t>Allison Lopez</t>
  </si>
  <si>
    <t>Mcintyreville</t>
  </si>
  <si>
    <t>CUST1237</t>
  </si>
  <si>
    <t>Michele Lewis</t>
  </si>
  <si>
    <t>Heatherfort</t>
  </si>
  <si>
    <t>CUST1238</t>
  </si>
  <si>
    <t>Samuel Hayes</t>
  </si>
  <si>
    <t>Osbornmouth</t>
  </si>
  <si>
    <t>CUST1239</t>
  </si>
  <si>
    <t>Austin Daniels</t>
  </si>
  <si>
    <t>Melissaburgh</t>
  </si>
  <si>
    <t>CUST1240</t>
  </si>
  <si>
    <t>Danny Galloway</t>
  </si>
  <si>
    <t>East Kristy</t>
  </si>
  <si>
    <t>CUST1241</t>
  </si>
  <si>
    <t>Kenneth Mcdonald</t>
  </si>
  <si>
    <t>New Nicole</t>
  </si>
  <si>
    <t>CUST1242</t>
  </si>
  <si>
    <t>Zachary Higgins</t>
  </si>
  <si>
    <t>Hammondshire</t>
  </si>
  <si>
    <t>CUST1243</t>
  </si>
  <si>
    <t>Evan Jones</t>
  </si>
  <si>
    <t>Frazierstad</t>
  </si>
  <si>
    <t>CUST1244</t>
  </si>
  <si>
    <t>Penny Bowman</t>
  </si>
  <si>
    <t>Port Tammy</t>
  </si>
  <si>
    <t>CUST1245</t>
  </si>
  <si>
    <t>Sheena Guerra</t>
  </si>
  <si>
    <t>West Fred</t>
  </si>
  <si>
    <t>CUST1246</t>
  </si>
  <si>
    <t>Courtney Meza</t>
  </si>
  <si>
    <t>Meghanview</t>
  </si>
  <si>
    <t>CUST1247</t>
  </si>
  <si>
    <t>Krista Martinez</t>
  </si>
  <si>
    <t>Christinaland</t>
  </si>
  <si>
    <t>CUST1248</t>
  </si>
  <si>
    <t>Leslie Carpenter</t>
  </si>
  <si>
    <t>Lake Claudia</t>
  </si>
  <si>
    <t>CUST1249</t>
  </si>
  <si>
    <t>Sarah Elliott</t>
  </si>
  <si>
    <t>North Brandonshire</t>
  </si>
  <si>
    <t>CUST1250</t>
  </si>
  <si>
    <t>Pamela Butler</t>
  </si>
  <si>
    <t>South Pamelaside</t>
  </si>
  <si>
    <t>CUST1251</t>
  </si>
  <si>
    <t>Elizabeth Sanchez</t>
  </si>
  <si>
    <t>Evansland</t>
  </si>
  <si>
    <t>CUST1252</t>
  </si>
  <si>
    <t>Jeffrey Washington</t>
  </si>
  <si>
    <t>West Catherine</t>
  </si>
  <si>
    <t>CUST1253</t>
  </si>
  <si>
    <t>Emma Travis</t>
  </si>
  <si>
    <t>Theresaberg</t>
  </si>
  <si>
    <t>CUST1254</t>
  </si>
  <si>
    <t>Justin Flores</t>
  </si>
  <si>
    <t>Martinezmouth</t>
  </si>
  <si>
    <t>CUST1255</t>
  </si>
  <si>
    <t>Anthony Dougherty</t>
  </si>
  <si>
    <t>Wrightburgh</t>
  </si>
  <si>
    <t>CUST1256</t>
  </si>
  <si>
    <t>Kenneth Edwards</t>
  </si>
  <si>
    <t>South Wendy</t>
  </si>
  <si>
    <t>CUST1257</t>
  </si>
  <si>
    <t>Mr. Alexander Landry MD</t>
  </si>
  <si>
    <t>East Brandy</t>
  </si>
  <si>
    <t>CUST1258</t>
  </si>
  <si>
    <t>Johnny Khan</t>
  </si>
  <si>
    <t>Mitchelltown</t>
  </si>
  <si>
    <t>CUST1259</t>
  </si>
  <si>
    <t>Cesar Baker</t>
  </si>
  <si>
    <t>Kathrynstad</t>
  </si>
  <si>
    <t>CUST1260</t>
  </si>
  <si>
    <t>Kelly Lee</t>
  </si>
  <si>
    <t>Charleshaven</t>
  </si>
  <si>
    <t>CUST1261</t>
  </si>
  <si>
    <t>Diana Hays</t>
  </si>
  <si>
    <t>East Theresafurt</t>
  </si>
  <si>
    <t>CUST1262</t>
  </si>
  <si>
    <t>Gina Mcmillan</t>
  </si>
  <si>
    <t>East Carrie</t>
  </si>
  <si>
    <t>CUST1263</t>
  </si>
  <si>
    <t>Amber Taylor</t>
  </si>
  <si>
    <t>Lindahaven</t>
  </si>
  <si>
    <t>CUST1264</t>
  </si>
  <si>
    <t>Steven Taylor</t>
  </si>
  <si>
    <t>Franciscoport</t>
  </si>
  <si>
    <t>CUST1265</t>
  </si>
  <si>
    <t>Ronald Patel</t>
  </si>
  <si>
    <t>Thomastown</t>
  </si>
  <si>
    <t>CUST1266</t>
  </si>
  <si>
    <t>Brian Butler</t>
  </si>
  <si>
    <t>Lauratown</t>
  </si>
  <si>
    <t>CUST1267</t>
  </si>
  <si>
    <t>Walter Patton</t>
  </si>
  <si>
    <t>Lake Brett</t>
  </si>
  <si>
    <t>CUST1268</t>
  </si>
  <si>
    <t>Mark Harvey</t>
  </si>
  <si>
    <t>Hernandezbury</t>
  </si>
  <si>
    <t>CUST1269</t>
  </si>
  <si>
    <t>Melody Lee</t>
  </si>
  <si>
    <t>Edwardsberg</t>
  </si>
  <si>
    <t>CUST1270</t>
  </si>
  <si>
    <t>Jennifer Hampton</t>
  </si>
  <si>
    <t>Salaston</t>
  </si>
  <si>
    <t>CUST1271</t>
  </si>
  <si>
    <t>Daniel Nguyen</t>
  </si>
  <si>
    <t>Foxmouth</t>
  </si>
  <si>
    <t>CUST1272</t>
  </si>
  <si>
    <t>Joseph Payne</t>
  </si>
  <si>
    <t>Chelseaborough</t>
  </si>
  <si>
    <t>CUST1273</t>
  </si>
  <si>
    <t>Edwin David</t>
  </si>
  <si>
    <t>Kellieborough</t>
  </si>
  <si>
    <t>CUST1274</t>
  </si>
  <si>
    <t>Emily Bailey</t>
  </si>
  <si>
    <t>Keithshire</t>
  </si>
  <si>
    <t>CUST1275</t>
  </si>
  <si>
    <t>Stephanie Foster</t>
  </si>
  <si>
    <t>Stephanieberg</t>
  </si>
  <si>
    <t>CUST1276</t>
  </si>
  <si>
    <t>Tyler Miller</t>
  </si>
  <si>
    <t>Douglasfort</t>
  </si>
  <si>
    <t>CUST1277</t>
  </si>
  <si>
    <t>Joshua Fitzpatrick</t>
  </si>
  <si>
    <t>Derrickshire</t>
  </si>
  <si>
    <t>CUST1278</t>
  </si>
  <si>
    <t>Michael Schmidt</t>
  </si>
  <si>
    <t>North Craig</t>
  </si>
  <si>
    <t>CUST1279</t>
  </si>
  <si>
    <t>Ashlee Townsend</t>
  </si>
  <si>
    <t>New Tiffanyburgh</t>
  </si>
  <si>
    <t>CUST1280</t>
  </si>
  <si>
    <t>Shirley Alvarez</t>
  </si>
  <si>
    <t>Port Tamara</t>
  </si>
  <si>
    <t>CUST1281</t>
  </si>
  <si>
    <t>Anthony Mack</t>
  </si>
  <si>
    <t>New Joanne</t>
  </si>
  <si>
    <t>CUST1282</t>
  </si>
  <si>
    <t>Susan Thompson</t>
  </si>
  <si>
    <t>North Wendy</t>
  </si>
  <si>
    <t>CUST1283</t>
  </si>
  <si>
    <t>Charlotte Curry</t>
  </si>
  <si>
    <t>Nancytown</t>
  </si>
  <si>
    <t>CUST1284</t>
  </si>
  <si>
    <t>Ashley Bird</t>
  </si>
  <si>
    <t>Shawnside</t>
  </si>
  <si>
    <t>CUST1285</t>
  </si>
  <si>
    <t>Todd Rosales MD</t>
  </si>
  <si>
    <t>CUST1286</t>
  </si>
  <si>
    <t>Mariah Higgins</t>
  </si>
  <si>
    <t>Lake Matthewport</t>
  </si>
  <si>
    <t>CUST1287</t>
  </si>
  <si>
    <t>Cheryl Carr</t>
  </si>
  <si>
    <t>Wilcoxhaven</t>
  </si>
  <si>
    <t>CUST1288</t>
  </si>
  <si>
    <t>Michael Lopez</t>
  </si>
  <si>
    <t>South Marcus</t>
  </si>
  <si>
    <t>CUST1289</t>
  </si>
  <si>
    <t>James Griffin</t>
  </si>
  <si>
    <t>Stephanieport</t>
  </si>
  <si>
    <t>CUSTX001</t>
  </si>
  <si>
    <t>Alexandra Valdez</t>
  </si>
  <si>
    <t>North Elizabeth</t>
  </si>
  <si>
    <t>CUSTX002</t>
  </si>
  <si>
    <t>Jared Shaw</t>
  </si>
  <si>
    <t>Hannahport</t>
  </si>
  <si>
    <t>CUSTX003</t>
  </si>
  <si>
    <t>Colleen Anderson</t>
  </si>
  <si>
    <t>South Julie</t>
  </si>
  <si>
    <t>CUSTX004</t>
  </si>
  <si>
    <t>Michael Durham</t>
  </si>
  <si>
    <t>CUSTX005</t>
  </si>
  <si>
    <t>Rachel Fox</t>
  </si>
  <si>
    <t>Christianshire</t>
  </si>
  <si>
    <t>Mean</t>
  </si>
  <si>
    <t>Median</t>
  </si>
  <si>
    <t>Mode</t>
  </si>
  <si>
    <t>Range</t>
  </si>
  <si>
    <t>Variance</t>
  </si>
  <si>
    <t>Standard Deviation</t>
  </si>
  <si>
    <t>More</t>
  </si>
  <si>
    <t>Bin Labels</t>
  </si>
  <si>
    <t>0-18</t>
  </si>
  <si>
    <t>19-25</t>
  </si>
  <si>
    <t>26-35</t>
  </si>
  <si>
    <t>36-45</t>
  </si>
  <si>
    <t>46-55</t>
  </si>
  <si>
    <t>56-65</t>
  </si>
  <si>
    <t>66-75</t>
  </si>
  <si>
    <t>76-85</t>
  </si>
  <si>
    <t>Customers with age 26-35 are active and purchasing more when compared to other age groups</t>
  </si>
  <si>
    <t>86-95</t>
  </si>
  <si>
    <t>Family_ID</t>
  </si>
  <si>
    <t>Application</t>
  </si>
  <si>
    <t>Usage_Hours</t>
  </si>
  <si>
    <t>Login_Count</t>
  </si>
  <si>
    <t>Avg_Session_Time_Min</t>
  </si>
  <si>
    <t>Total_Usage_Time_Hours</t>
  </si>
  <si>
    <t>Feedback.Overall_Satisfaction_Rating</t>
  </si>
  <si>
    <t>Feedback.Performance_Rating</t>
  </si>
  <si>
    <t>Feedback.Ease_of_Use_Rating</t>
  </si>
  <si>
    <t>Feedback.Most_Used_Application</t>
  </si>
  <si>
    <t>Feedback.Would_Recommend</t>
  </si>
  <si>
    <t>Feedback.Comments</t>
  </si>
  <si>
    <t>Overall_Rating</t>
  </si>
  <si>
    <t>Satisfaction_level</t>
  </si>
  <si>
    <t>F01</t>
  </si>
  <si>
    <t>Games</t>
  </si>
  <si>
    <t>Productivity</t>
  </si>
  <si>
    <t>Yes</t>
  </si>
  <si>
    <t>System performance is good</t>
  </si>
  <si>
    <t>Movies</t>
  </si>
  <si>
    <t>E-Books</t>
  </si>
  <si>
    <t>Internet Browser</t>
  </si>
  <si>
    <t>Security Tools</t>
  </si>
  <si>
    <t>F02</t>
  </si>
  <si>
    <t>No</t>
  </si>
  <si>
    <t>F03</t>
  </si>
  <si>
    <t>F04</t>
  </si>
  <si>
    <t>Games are highly engaging</t>
  </si>
  <si>
    <t>F05</t>
  </si>
  <si>
    <t>Very useful for study and work</t>
  </si>
  <si>
    <t>F06</t>
  </si>
  <si>
    <t>Need better security tools</t>
  </si>
  <si>
    <t>F07</t>
  </si>
  <si>
    <t>F08</t>
  </si>
  <si>
    <t>Browser performance could improve</t>
  </si>
  <si>
    <t>F09</t>
  </si>
  <si>
    <t>F10</t>
  </si>
  <si>
    <t>F11</t>
  </si>
  <si>
    <t>F12</t>
  </si>
  <si>
    <t>Level of Customer Satisfaction</t>
  </si>
  <si>
    <t>Average Satisfaction</t>
  </si>
  <si>
    <t>Max Satisfaction</t>
  </si>
  <si>
    <t>Average of Overall_Rating</t>
  </si>
  <si>
    <t>Min Satisfaction</t>
  </si>
  <si>
    <t>Would Recommend - Yes Count</t>
  </si>
  <si>
    <t>Total Responses</t>
  </si>
  <si>
    <t>Recommendation percentage</t>
  </si>
  <si>
    <t>Average of Total_Usage_Time_Hours</t>
  </si>
  <si>
    <t>Student_ID</t>
  </si>
  <si>
    <t>Group</t>
  </si>
  <si>
    <t>Training_Module</t>
  </si>
  <si>
    <t>Attendance_%</t>
  </si>
  <si>
    <t>Assignment_Score</t>
  </si>
  <si>
    <t>Test_Score</t>
  </si>
  <si>
    <t>Satisfaction_Rating</t>
  </si>
  <si>
    <t>Total Score</t>
  </si>
  <si>
    <t>S001</t>
  </si>
  <si>
    <t>A</t>
  </si>
  <si>
    <t>Python Programming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</si>
  <si>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</si>
  <si>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</si>
  <si>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</si>
  <si>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</si>
  <si>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</si>
  <si>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</si>
  <si>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</si>
  <si>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</si>
  <si>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</si>
  <si>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</si>
  <si>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B</t>
  </si>
  <si>
    <t>Data Analytics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</si>
  <si>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</si>
  <si>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</si>
  <si>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</si>
  <si>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</si>
  <si>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</si>
  <si>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</si>
  <si>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</si>
  <si>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</si>
  <si>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</si>
  <si>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t-Test: Paired Two Sample for Means</t>
  </si>
  <si>
    <t>Variable 1</t>
  </si>
  <si>
    <t>Variable 2</t>
  </si>
  <si>
    <t>Average Score</t>
  </si>
  <si>
    <t>Spread of scores</t>
  </si>
  <si>
    <t>Observations</t>
  </si>
  <si>
    <t>Pearson Correlation</t>
  </si>
  <si>
    <t>Hypothesized Mean Difference</t>
  </si>
  <si>
    <t>df</t>
  </si>
  <si>
    <t>t Stat</t>
  </si>
  <si>
    <t>Calculated t-value</t>
  </si>
  <si>
    <t>p value (0.165) is &gt; 0.05, hence, there is not much difference between Group-A and Group-B</t>
  </si>
  <si>
    <t>P(T&lt;=t) one-tail</t>
  </si>
  <si>
    <t>t Critical one-tail</t>
  </si>
  <si>
    <t>P(T&lt;=t) two-tail</t>
  </si>
  <si>
    <t>t Critical two-tail</t>
  </si>
  <si>
    <t>Product_Category</t>
  </si>
  <si>
    <t>Satisfaction_Level</t>
  </si>
  <si>
    <t>C001</t>
  </si>
  <si>
    <t>Satisfied</t>
  </si>
  <si>
    <t>C002</t>
  </si>
  <si>
    <t>Count of Satisfaction_Level</t>
  </si>
  <si>
    <t>Column Labels</t>
  </si>
  <si>
    <t>C003</t>
  </si>
  <si>
    <t>Dissatisfied</t>
  </si>
  <si>
    <t>Neutral</t>
  </si>
  <si>
    <t>C004</t>
  </si>
  <si>
    <t>Clothing</t>
  </si>
  <si>
    <t>C005</t>
  </si>
  <si>
    <t>C006</t>
  </si>
  <si>
    <t>Home Appliances</t>
  </si>
  <si>
    <t>C007</t>
  </si>
  <si>
    <t>C008</t>
  </si>
  <si>
    <t>C009</t>
  </si>
  <si>
    <t>C010</t>
  </si>
  <si>
    <t>C011</t>
  </si>
  <si>
    <t>C012</t>
  </si>
  <si>
    <t>Expected Frequency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</si>
  <si>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</si>
  <si>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</si>
  <si>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</si>
  <si>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</si>
  <si>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</si>
  <si>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</si>
  <si>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</si>
  <si>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</si>
  <si>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</si>
  <si>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</si>
  <si>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</si>
  <si>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</si>
  <si>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</si>
  <si>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Home appliances</t>
  </si>
  <si>
    <t>C026</t>
  </si>
  <si>
    <t>C027</t>
  </si>
  <si>
    <t>C028</t>
  </si>
  <si>
    <t>C029</t>
  </si>
  <si>
    <t>C030</t>
  </si>
  <si>
    <t>F-Test Two-Sample for Variances</t>
  </si>
  <si>
    <t>F</t>
  </si>
  <si>
    <t>P(F&lt;=f) one-tail</t>
  </si>
  <si>
    <t>F Critical one-tail</t>
  </si>
  <si>
    <t>Item Weight in grams</t>
  </si>
  <si>
    <t>z-Test: Two Sample for Means</t>
  </si>
  <si>
    <t>Known Variance</t>
  </si>
  <si>
    <t>z</t>
  </si>
  <si>
    <t>P(Z&lt;=z) one-tail</t>
  </si>
  <si>
    <t>z Critical one-tail</t>
  </si>
  <si>
    <t>P(Z&lt;=z) two-tail</t>
  </si>
  <si>
    <t>z Critical two-tail</t>
  </si>
  <si>
    <t>Method_A</t>
  </si>
  <si>
    <t>Method_B</t>
  </si>
  <si>
    <t>Method_C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</si>
  <si>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</si>
  <si>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</si>
  <si>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</si>
  <si>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</si>
  <si>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</si>
  <si>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</si>
  <si>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</si>
  <si>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</si>
  <si>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</si>
  <si>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</si>
  <si>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</si>
  <si>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</si>
  <si>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</si>
  <si>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</si>
  <si>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</si>
  <si>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r>
      <t>1. F-Statistic vs. F-Critical:</t>
    </r>
    <r>
      <rPr>
        <sz val="11"/>
        <color theme="1"/>
        <rFont val="Arial"/>
        <family val="2"/>
      </rPr>
      <t xml:space="preserve"> The calculated $F$-value ($42.06$) is much larger than $F\text{ crit}$ ($3.55$).</t>
    </r>
  </si>
  <si>
    <r>
      <t>2. P-Value:</t>
    </r>
    <r>
      <rPr>
        <sz val="11"/>
        <color theme="1"/>
        <rFont val="Arial"/>
        <family val="2"/>
      </rPr>
      <t xml:space="preserve"> The resulting $p$-value ($0.000000228$) is far below $\alpha = 0.05$.</t>
    </r>
  </si>
  <si>
    <r>
      <t>Decision: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Reject the null hypothesis ($H_0$).</t>
    </r>
  </si>
  <si>
    <r>
      <t>Conclusion:</t>
    </r>
    <r>
      <rPr>
        <sz val="11"/>
        <color theme="1"/>
        <rFont val="Arial"/>
        <family val="2"/>
      </rPr>
      <t xml:space="preserve"> There is a statistically significant difference in mean student performance across the three teaching methods. Looking at the group averages, </t>
    </r>
    <r>
      <rPr>
        <b/>
        <sz val="11"/>
        <color theme="1"/>
        <rFont val="Arial"/>
        <family val="2"/>
      </rPr>
      <t>Method C (92.29)</t>
    </r>
    <r>
      <rPr>
        <sz val="11"/>
        <color theme="1"/>
        <rFont val="Arial"/>
        <family val="2"/>
      </rPr>
      <t xml:space="preserve"> yielded the highest mean performance, followed by Method B (86.43) and Method A (78.29).</t>
    </r>
  </si>
  <si>
    <t>Sales_kUSD (Y)</t>
  </si>
  <si>
    <t>Advertising_Expenditure_USD (X)</t>
  </si>
  <si>
    <t>SUMMARY OUTPUT</t>
  </si>
  <si>
    <t>Regression Statistics</t>
  </si>
  <si>
    <t>Multiple R</t>
  </si>
  <si>
    <t>R Square</t>
  </si>
  <si>
    <t>Adjusted R Square</t>
  </si>
  <si>
    <t>Standard Error</t>
  </si>
  <si>
    <t>Regression</t>
  </si>
  <si>
    <t>Residual</t>
  </si>
  <si>
    <t>Intercept</t>
  </si>
  <si>
    <t>Significance F</t>
  </si>
  <si>
    <t>Coefficients</t>
  </si>
  <si>
    <t>Lower 95%</t>
  </si>
  <si>
    <t>Upper 95%</t>
  </si>
  <si>
    <t>Lower 95.0%</t>
  </si>
  <si>
    <t>Upper 95.0%</t>
  </si>
  <si>
    <t>Sales_kUSD</t>
  </si>
  <si>
    <t>Profits_kUSD</t>
  </si>
  <si>
    <t>Advertising_Expenditure_kUSD</t>
  </si>
  <si>
    <t>Customer_Visits</t>
  </si>
  <si>
    <t>Product_Price_USD</t>
  </si>
  <si>
    <t>Discounts_Percent</t>
  </si>
  <si>
    <t>Sales_Units</t>
  </si>
  <si>
    <t>Month Period (t)</t>
  </si>
  <si>
    <t>3-Month Moving Average</t>
  </si>
  <si>
    <t>Forecast(Sales_kUSD)</t>
  </si>
  <si>
    <t>Lower Confidence Bound(Sales_kUSD)</t>
  </si>
  <si>
    <t>Upper Confidence Bound(Sales_kUSD)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</si>
</sst>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7" fontId="0" fillId="0" borderId="0" xfId="0" applyNumberFormat="1"/>
    <xf numFmtId="0" fontId="2" fillId="0" borderId="2" xfId="0" applyFont="1" applyBorder="1" applyAlignment="1">
      <alignment horizontal="center"/>
    </xf>
    <xf numFmtId="17" fontId="0" fillId="0" borderId="1" xfId="0" applyNumberFormat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2" fillId="0" borderId="2" xfId="0" applyFont="1" applyBorder="1" applyAlignment="1">
      <alignment horizontal="centerContinuous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2" formatCode="m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'S1-Q1'!$I$2:$I$9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cat>
          <c:val>
            <c:numRef>
              <c:f>'S1-Q1'!$J$2:$J$9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24</c:v>
                </c:pt>
                <c:pt idx="3">
                  <c:v>15</c:v>
                </c:pt>
                <c:pt idx="4">
                  <c:v>21</c:v>
                </c:pt>
                <c:pt idx="5">
                  <c:v>21</c:v>
                </c:pt>
                <c:pt idx="6">
                  <c:v>7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F8-4A15-B7A9-41DAC7CB2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4959680"/>
        <c:axId val="1374960640"/>
      </c:barChart>
      <c:catAx>
        <c:axId val="1374959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60640"/>
        <c:crosses val="autoZero"/>
        <c:auto val="1"/>
        <c:lblAlgn val="ctr"/>
        <c:lblOffset val="100"/>
        <c:noMultiLvlLbl val="0"/>
      </c:catAx>
      <c:valAx>
        <c:axId val="137496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9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'S1-Q2'!$A$2:$A$6</c:f>
              <c:strCache>
                <c:ptCount val="5"/>
                <c:pt idx="0">
                  <c:v>Household</c:v>
                </c:pt>
                <c:pt idx="1">
                  <c:v>Electronics</c:v>
                </c:pt>
                <c:pt idx="2">
                  <c:v>Apparel</c:v>
                </c:pt>
                <c:pt idx="3">
                  <c:v>Pets</c:v>
                </c:pt>
                <c:pt idx="4">
                  <c:v>Groceries</c:v>
                </c:pt>
              </c:strCache>
            </c:strRef>
          </c:cat>
          <c:val>
            <c:numRef>
              <c:f>'S1-Q2'!$F$2:$F$6</c:f>
              <c:numCache>
                <c:formatCode>General</c:formatCode>
                <c:ptCount val="5"/>
                <c:pt idx="0">
                  <c:v>2622</c:v>
                </c:pt>
                <c:pt idx="1">
                  <c:v>2670</c:v>
                </c:pt>
                <c:pt idx="2">
                  <c:v>2826</c:v>
                </c:pt>
                <c:pt idx="3">
                  <c:v>2615</c:v>
                </c:pt>
                <c:pt idx="4">
                  <c:v>3149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B-48AA-AF9D-2419D04A6F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56202448"/>
        <c:axId val="1356203408"/>
      </c:barChart>
      <c:catAx>
        <c:axId val="1356202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03408"/>
        <c:crosses val="autoZero"/>
        <c:auto val="1"/>
        <c:lblAlgn val="ctr"/>
        <c:lblOffset val="100"/>
        <c:noMultiLvlLbl val="0"/>
      </c:catAx>
      <c:valAx>
        <c:axId val="13562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20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Percentage Share of each Category in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5AEE-4C52-AED5-0EC247AFDDB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5AEE-4C52-AED5-0EC247AFDDB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5AEE-4C52-AED5-0EC247AFDDBD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5AEE-4C52-AED5-0EC247AFDDBD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5AEE-4C52-AED5-0EC247AFDD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'S1-Q2'!$A$2:$A$6</c:f>
              <c:strCache>
                <c:ptCount val="5"/>
                <c:pt idx="0">
                  <c:v>Household</c:v>
                </c:pt>
                <c:pt idx="1">
                  <c:v>Electronics</c:v>
                </c:pt>
                <c:pt idx="2">
                  <c:v>Apparel</c:v>
                </c:pt>
                <c:pt idx="3">
                  <c:v>Pets</c:v>
                </c:pt>
                <c:pt idx="4">
                  <c:v>Groceries</c:v>
                </c:pt>
              </c:strCache>
            </c:strRef>
          </c:cat>
          <c:val>
            <c:numRef>
              <c:f>'S1-Q2'!$G$2:$G$6</c:f>
              <c:numCache>
                <c:formatCode>General</c:formatCode>
                <c:ptCount val="5"/>
                <c:pt idx="0">
                  <c:v>18.89</c:v>
                </c:pt>
                <c:pt idx="1">
                  <c:v>19.23</c:v>
                </c:pt>
                <c:pt idx="2">
                  <c:v>20.36</c:v>
                </c:pt>
                <c:pt idx="3">
                  <c:v>18.84</c:v>
                </c:pt>
                <c:pt idx="4">
                  <c:v>22.68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D5-470B-A785-AAAA1AF6BB1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'S1-Q3'!$B$1</c:f>
              <c:strCache>
                <c:ptCount val="1"/>
                <c:pt idx="0">
                  <c:v>Revenue Data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'S1-Q3'!$A$2:$A$25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'S1-Q3'!$B$2:$B$25</c:f>
              <c:numCache>
                <c:formatCode>General</c:formatCode>
                <c:ptCount val="24"/>
                <c:pt idx="0">
                  <c:v>3235</c:v>
                </c:pt>
                <c:pt idx="1">
                  <c:v>8274</c:v>
                </c:pt>
                <c:pt idx="2">
                  <c:v>3775</c:v>
                </c:pt>
                <c:pt idx="3">
                  <c:v>7037</c:v>
                </c:pt>
                <c:pt idx="4">
                  <c:v>7452</c:v>
                </c:pt>
                <c:pt idx="5">
                  <c:v>7307</c:v>
                </c:pt>
                <c:pt idx="6">
                  <c:v>3442</c:v>
                </c:pt>
                <c:pt idx="7">
                  <c:v>4485</c:v>
                </c:pt>
                <c:pt idx="8">
                  <c:v>3495</c:v>
                </c:pt>
                <c:pt idx="9">
                  <c:v>6722</c:v>
                </c:pt>
                <c:pt idx="10">
                  <c:v>5512</c:v>
                </c:pt>
                <c:pt idx="11">
                  <c:v>6182</c:v>
                </c:pt>
                <c:pt idx="12">
                  <c:v>5501</c:v>
                </c:pt>
                <c:pt idx="13">
                  <c:v>7869</c:v>
                </c:pt>
                <c:pt idx="14">
                  <c:v>6862</c:v>
                </c:pt>
                <c:pt idx="15">
                  <c:v>6267</c:v>
                </c:pt>
                <c:pt idx="16">
                  <c:v>3550</c:v>
                </c:pt>
                <c:pt idx="17">
                  <c:v>4245</c:v>
                </c:pt>
                <c:pt idx="18">
                  <c:v>7518</c:v>
                </c:pt>
                <c:pt idx="19">
                  <c:v>7775</c:v>
                </c:pt>
                <c:pt idx="20">
                  <c:v>4645</c:v>
                </c:pt>
                <c:pt idx="21">
                  <c:v>7656</c:v>
                </c:pt>
                <c:pt idx="22">
                  <c:v>7696</c:v>
                </c:pt>
                <c:pt idx="23">
                  <c:v>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2-47F1-9D4E-CBCF24253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642720"/>
        <c:axId val="1378636480"/>
      </c:lineChart>
      <c:dateAx>
        <c:axId val="137864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36480"/>
        <c:crosses val="autoZero"/>
        <c:auto val="1"/>
        <c:lblOffset val="100"/>
        <c:baseTimeUnit val="months"/>
      </c:dateAx>
      <c:valAx>
        <c:axId val="13786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6427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Cumulative 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'S1-Q3'!$A$2:$A$25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'S1-Q3'!$C$2:$C$25</c:f>
              <c:numCache>
                <c:formatCode>General</c:formatCode>
                <c:ptCount val="24"/>
                <c:pt idx="0">
                  <c:v>3235</c:v>
                </c:pt>
                <c:pt idx="1">
                  <c:v>11509</c:v>
                </c:pt>
                <c:pt idx="2">
                  <c:v>15284</c:v>
                </c:pt>
                <c:pt idx="3">
                  <c:v>22321</c:v>
                </c:pt>
                <c:pt idx="4">
                  <c:v>29773</c:v>
                </c:pt>
                <c:pt idx="5">
                  <c:v>37080</c:v>
                </c:pt>
                <c:pt idx="6">
                  <c:v>40522</c:v>
                </c:pt>
                <c:pt idx="7">
                  <c:v>45007</c:v>
                </c:pt>
                <c:pt idx="8">
                  <c:v>48502</c:v>
                </c:pt>
                <c:pt idx="9">
                  <c:v>55224</c:v>
                </c:pt>
                <c:pt idx="10">
                  <c:v>60736</c:v>
                </c:pt>
                <c:pt idx="11">
                  <c:v>66918</c:v>
                </c:pt>
                <c:pt idx="12">
                  <c:v>72419</c:v>
                </c:pt>
                <c:pt idx="13">
                  <c:v>80288</c:v>
                </c:pt>
                <c:pt idx="14">
                  <c:v>87150</c:v>
                </c:pt>
                <c:pt idx="15">
                  <c:v>93417</c:v>
                </c:pt>
                <c:pt idx="16">
                  <c:v>96967</c:v>
                </c:pt>
                <c:pt idx="17">
                  <c:v>101212</c:v>
                </c:pt>
                <c:pt idx="18">
                  <c:v>108730</c:v>
                </c:pt>
                <c:pt idx="19">
                  <c:v>116505</c:v>
                </c:pt>
                <c:pt idx="20">
                  <c:v>121150</c:v>
                </c:pt>
                <c:pt idx="21">
                  <c:v>128806</c:v>
                </c:pt>
                <c:pt idx="22">
                  <c:v>136502</c:v>
                </c:pt>
                <c:pt idx="23">
                  <c:v>142384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C-4702-B81F-83A2F96FC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6072096"/>
        <c:axId val="1686067776"/>
      </c:areaChart>
      <c:dateAx>
        <c:axId val="1686072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067776"/>
        <c:crosses val="autoZero"/>
        <c:auto val="1"/>
        <c:lblOffset val="100"/>
        <c:baseTimeUnit val="months"/>
      </c:dateAx>
      <c:valAx>
        <c:axId val="168606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07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v>Revenue-2024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'S1-Q3'!$A$14:$A$25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'S1-Q3'!$B$2:$B$13</c:f>
              <c:numCache>
                <c:formatCode>General</c:formatCode>
                <c:ptCount val="12"/>
                <c:pt idx="0">
                  <c:v>3235</c:v>
                </c:pt>
                <c:pt idx="1">
                  <c:v>8274</c:v>
                </c:pt>
                <c:pt idx="2">
                  <c:v>3775</c:v>
                </c:pt>
                <c:pt idx="3">
                  <c:v>7037</c:v>
                </c:pt>
                <c:pt idx="4">
                  <c:v>7452</c:v>
                </c:pt>
                <c:pt idx="5">
                  <c:v>7307</c:v>
                </c:pt>
                <c:pt idx="6">
                  <c:v>3442</c:v>
                </c:pt>
                <c:pt idx="7">
                  <c:v>4485</c:v>
                </c:pt>
                <c:pt idx="8">
                  <c:v>3495</c:v>
                </c:pt>
                <c:pt idx="9">
                  <c:v>6722</c:v>
                </c:pt>
                <c:pt idx="10">
                  <c:v>5512</c:v>
                </c:pt>
                <c:pt idx="11">
                  <c:v>6182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8-4E43-BA74-F456E8056777}"/>
            </c:ext>
          </c:extLst>
        </c:ser>
        <c:ser>
          <c:idx val="1"/>
          <c:order val="1"/>
          <c:tx>
            <c:v>Revenue_2025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'S1-Q3'!$A$14:$A$25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'S1-Q3'!$B$14:$B$25</c:f>
              <c:numCache>
                <c:formatCode>General</c:formatCode>
                <c:ptCount val="12"/>
                <c:pt idx="0">
                  <c:v>5501</c:v>
                </c:pt>
                <c:pt idx="1">
                  <c:v>7869</c:v>
                </c:pt>
                <c:pt idx="2">
                  <c:v>6862</c:v>
                </c:pt>
                <c:pt idx="3">
                  <c:v>6267</c:v>
                </c:pt>
                <c:pt idx="4">
                  <c:v>3550</c:v>
                </c:pt>
                <c:pt idx="5">
                  <c:v>4245</c:v>
                </c:pt>
                <c:pt idx="6">
                  <c:v>7518</c:v>
                </c:pt>
                <c:pt idx="7">
                  <c:v>7775</c:v>
                </c:pt>
                <c:pt idx="8">
                  <c:v>4645</c:v>
                </c:pt>
                <c:pt idx="9">
                  <c:v>7656</c:v>
                </c:pt>
                <c:pt idx="10">
                  <c:v>7696</c:v>
                </c:pt>
                <c:pt idx="11">
                  <c:v>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8-4E43-BA74-F456E8056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933791"/>
        <c:axId val="1979929951"/>
      </c:lineChart>
      <c:dateAx>
        <c:axId val="19799337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929951"/>
        <c:crosses val="autoZero"/>
        <c:auto val="1"/>
        <c:lblOffset val="100"/>
        <c:baseTimeUnit val="months"/>
      </c:dateAx>
      <c:valAx>
        <c:axId val="197992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93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Frequency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'S2-Q6'!$E$15:$E$23</c15:sqref>
                  </c15:fullRef>
                </c:ext>
              </c:extLst>
              <c:f>'S2-Q6'!$E$15:$E$23</c:f>
              <c:strCache>
                <c:ptCount val="9"/>
                <c:pt idx="0">
                  <c:v>0-18</c:v>
                </c:pt>
                <c:pt idx="1">
                  <c:v>19-25</c:v>
                </c:pt>
                <c:pt idx="2">
                  <c:v>26-35</c:v>
                </c:pt>
                <c:pt idx="3">
                  <c:v>36-45</c:v>
                </c:pt>
                <c:pt idx="4">
                  <c:v>46-55</c:v>
                </c:pt>
                <c:pt idx="5">
                  <c:v>56-65</c:v>
                </c:pt>
                <c:pt idx="6">
                  <c:v>66-75</c:v>
                </c:pt>
                <c:pt idx="7">
                  <c:v>76-85</c:v>
                </c:pt>
                <c:pt idx="8">
                  <c:v>86-95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'S2-Q6'!$F$2:$F$11</c15:sqref>
                  </c15:fullRef>
                </c:ext>
              </c:extLst>
              <c:f>'S2-Q6'!$F$2:$F$10</c:f>
              <c:numCache>
                <c:formatCode>General</c:formatCode>
                <c:ptCount val="9"/>
                <c:pt idx="0">
                  <c:v>3</c:v>
                </c:pt>
                <c:pt idx="1">
                  <c:v>41</c:v>
                </c:pt>
                <c:pt idx="2">
                  <c:v>63</c:v>
                </c:pt>
                <c:pt idx="3">
                  <c:v>59</c:v>
                </c:pt>
                <c:pt idx="4">
                  <c:v>53</c:v>
                </c:pt>
                <c:pt idx="5">
                  <c:v>49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4-4585-AA2B-6F53078EFC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79916031"/>
        <c:axId val="1979918431"/>
      </c:barChart>
      <c:catAx>
        <c:axId val="1979916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Age Group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9918431"/>
        <c:crosses val="autoZero"/>
        <c:auto val="1"/>
        <c:lblAlgn val="ctr"/>
        <c:lblOffset val="100"/>
        <c:noMultiLvlLbl val="0"/>
      </c:catAx>
      <c:valAx>
        <c:axId val="1979918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9916031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[Section-1_Session-1-4.xlsx]S2-Q7!PivotTable3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'S2-Q7'!$E$3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'S2-Q7'!$D$4:$D$16</c:f>
              <c:strCache>
                <c:ptCount val="12"/>
                <c:pt idx="0">
                  <c:v>F01</c:v>
                </c:pt>
                <c:pt idx="1">
                  <c:v>F02</c:v>
                </c:pt>
                <c:pt idx="2">
                  <c:v>F03</c:v>
                </c:pt>
                <c:pt idx="3">
                  <c:v>F04</c:v>
                </c:pt>
                <c:pt idx="4">
                  <c:v>F05</c:v>
                </c:pt>
                <c:pt idx="5">
                  <c:v>F06</c:v>
                </c:pt>
                <c:pt idx="6">
                  <c:v>F07</c:v>
                </c:pt>
                <c:pt idx="7">
                  <c:v>F08</c:v>
                </c:pt>
                <c:pt idx="8">
                  <c:v>F09</c:v>
                </c:pt>
                <c:pt idx="9">
                  <c:v>F10</c:v>
                </c:pt>
                <c:pt idx="10">
                  <c:v>F11</c:v>
                </c:pt>
                <c:pt idx="11">
                  <c:v>F12</c:v>
                </c:pt>
              </c:strCache>
            </c:strRef>
          </c:cat>
          <c:val>
            <c:numRef>
              <c:f>'S2-Q7'!$E$4:$E$16</c:f>
              <c:numCache>
                <c:formatCode>General</c:formatCode>
                <c:ptCount val="12"/>
                <c:pt idx="0">
                  <c:v>5</c:v>
                </c:pt>
                <c:pt idx="1">
                  <c:v>6.6700000000000008</c:v>
                </c:pt>
                <c:pt idx="2">
                  <c:v>6.3299999999999992</c:v>
                </c:pt>
                <c:pt idx="3">
                  <c:v>4.6700000000000008</c:v>
                </c:pt>
                <c:pt idx="4">
                  <c:v>6.3299999999999992</c:v>
                </c:pt>
                <c:pt idx="5">
                  <c:v>6.3299999999999992</c:v>
                </c:pt>
                <c:pt idx="6">
                  <c:v>4.6700000000000008</c:v>
                </c:pt>
                <c:pt idx="7">
                  <c:v>6.3299999999999992</c:v>
                </c:pt>
                <c:pt idx="8">
                  <c:v>7.3299999999999992</c:v>
                </c:pt>
                <c:pt idx="9">
                  <c:v>4.6700000000000008</c:v>
                </c:pt>
                <c:pt idx="10">
                  <c:v>5.3299999999999992</c:v>
                </c:pt>
                <c:pt idx="11">
                  <c:v>6.3299999999999992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B-4935-9CA6-3941816C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15352640"/>
        <c:axId val="215354560"/>
      </c:barChart>
      <c:catAx>
        <c:axId val="21535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Family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354560"/>
        <c:crosses val="autoZero"/>
        <c:auto val="1"/>
        <c:lblAlgn val="ctr"/>
        <c:lblOffset val="100"/>
        <c:noMultiLvlLbl val="0"/>
      </c:catAx>
      <c:valAx>
        <c:axId val="21535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of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3526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- Time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'S4-Q15'!$C$1</c:f>
              <c:strCache>
                <c:ptCount val="1"/>
                <c:pt idx="0">
                  <c:v>Sales_kUSD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'S4-Q15'!$B$2:$B$25</c:f>
              <c:numCache>
                <c:formatCode>mmm\-yy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'S4-Q15'!$C$2:$C$25</c:f>
              <c:numCache>
                <c:formatCode>General</c:formatCode>
                <c:ptCount val="24"/>
                <c:pt idx="0">
                  <c:v>156.57</c:v>
                </c:pt>
                <c:pt idx="1">
                  <c:v>176.98</c:v>
                </c:pt>
                <c:pt idx="2">
                  <c:v>179.91</c:v>
                </c:pt>
                <c:pt idx="3">
                  <c:v>173.46</c:v>
                </c:pt>
                <c:pt idx="4">
                  <c:v>177.11</c:v>
                </c:pt>
                <c:pt idx="5">
                  <c:v>185.26</c:v>
                </c:pt>
                <c:pt idx="6">
                  <c:v>161.87</c:v>
                </c:pt>
                <c:pt idx="7">
                  <c:v>170.87</c:v>
                </c:pt>
                <c:pt idx="8">
                  <c:v>181.83</c:v>
                </c:pt>
                <c:pt idx="9">
                  <c:v>177.68</c:v>
                </c:pt>
                <c:pt idx="10">
                  <c:v>188.61</c:v>
                </c:pt>
                <c:pt idx="11">
                  <c:v>203.53</c:v>
                </c:pt>
                <c:pt idx="12">
                  <c:v>223.46</c:v>
                </c:pt>
                <c:pt idx="13">
                  <c:v>222.8</c:v>
                </c:pt>
                <c:pt idx="14">
                  <c:v>230.28</c:v>
                </c:pt>
                <c:pt idx="15">
                  <c:v>232.82</c:v>
                </c:pt>
                <c:pt idx="16">
                  <c:v>245.03</c:v>
                </c:pt>
                <c:pt idx="17">
                  <c:v>241.93</c:v>
                </c:pt>
                <c:pt idx="18">
                  <c:v>233.02</c:v>
                </c:pt>
                <c:pt idx="19">
                  <c:v>228.94</c:v>
                </c:pt>
                <c:pt idx="20">
                  <c:v>233.19</c:v>
                </c:pt>
                <c:pt idx="21">
                  <c:v>243.46</c:v>
                </c:pt>
                <c:pt idx="22">
                  <c:v>241.32</c:v>
                </c:pt>
                <c:pt idx="23">
                  <c:v>263.88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64-45D6-8D2E-8DD12A1D4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89091903"/>
        <c:axId val="1387363679"/>
      </c:lineChart>
      <c:dateAx>
        <c:axId val="13890919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363679"/>
        <c:crosses val="autoZero"/>
        <c:auto val="1"/>
        <c:lblOffset val="100"/>
        <c:baseTimeUnit val="months"/>
      </c:dateAx>
      <c:valAx>
        <c:axId val="1387363679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09190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732153046086626E-2"/>
          <c:y val="2.3777141493676927E-2"/>
          <c:w val="0.91815914315058444"/>
          <c:h val="0.61472611378123188"/>
        </c:manualLayout>
      </c:layout>
      <c:lineChart>
        <c:grouping val="standard"/>
        <c:varyColors val="0"/>
        <c:ser>
          <c:idx val="0"/>
          <c:order val="0"/>
          <c:tx>
            <c:strRef>
              <c:f>'Forecast-sheet'!$B$1</c:f>
              <c:strCache>
                <c:ptCount val="1"/>
                <c:pt idx="0">
                  <c:v>Sales_kUSD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'Forecast-sheet'!$B$2:$B$29</c:f>
              <c:numCache>
                <c:formatCode>General</c:formatCode>
                <c:ptCount val="28"/>
                <c:pt idx="0">
                  <c:v>156.57</c:v>
                </c:pt>
                <c:pt idx="1">
                  <c:v>176.98</c:v>
                </c:pt>
                <c:pt idx="2">
                  <c:v>179.91</c:v>
                </c:pt>
                <c:pt idx="3">
                  <c:v>173.46</c:v>
                </c:pt>
                <c:pt idx="4">
                  <c:v>177.11</c:v>
                </c:pt>
                <c:pt idx="5">
                  <c:v>185.26</c:v>
                </c:pt>
                <c:pt idx="6">
                  <c:v>161.87</c:v>
                </c:pt>
                <c:pt idx="7">
                  <c:v>170.87</c:v>
                </c:pt>
                <c:pt idx="8">
                  <c:v>181.83</c:v>
                </c:pt>
                <c:pt idx="9">
                  <c:v>177.68</c:v>
                </c:pt>
                <c:pt idx="10">
                  <c:v>188.61</c:v>
                </c:pt>
                <c:pt idx="11">
                  <c:v>203.53</c:v>
                </c:pt>
                <c:pt idx="12">
                  <c:v>223.46</c:v>
                </c:pt>
                <c:pt idx="13">
                  <c:v>222.8</c:v>
                </c:pt>
                <c:pt idx="14">
                  <c:v>230.28</c:v>
                </c:pt>
                <c:pt idx="15">
                  <c:v>232.82</c:v>
                </c:pt>
                <c:pt idx="16">
                  <c:v>245.03</c:v>
                </c:pt>
                <c:pt idx="17">
                  <c:v>241.93</c:v>
                </c:pt>
                <c:pt idx="18">
                  <c:v>233.02</c:v>
                </c:pt>
                <c:pt idx="19">
                  <c:v>228.94</c:v>
                </c:pt>
                <c:pt idx="20">
                  <c:v>233.19</c:v>
                </c:pt>
                <c:pt idx="21">
                  <c:v>243.46</c:v>
                </c:pt>
                <c:pt idx="22">
                  <c:v>241.32</c:v>
                </c:pt>
                <c:pt idx="23">
                  <c:v>263.88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D-49FF-8683-B56BF2D552BE}"/>
            </c:ext>
          </c:extLst>
        </c:ser>
        <c:ser>
          <c:idx val="1"/>
          <c:order val="1"/>
          <c:tx>
            <c:strRef>
              <c:f>'Forecast-sheet'!$C$1</c:f>
              <c:strCache>
                <c:ptCount val="1"/>
                <c:pt idx="0">
                  <c:v>Forecast(Sales_kUSD)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'Forecast-sheet'!$A$2:$A$29</c:f>
              <c:numCache>
                <c:formatCode>mmm\-yy</c:formatCode>
                <c:ptCount val="2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46112</c:v>
                </c:pt>
              </c:numCache>
            </c:numRef>
          </c:cat>
          <c:val>
            <c:numRef>
              <c:f>'Forecast-sheet'!$C$2:$C$29</c:f>
              <c:numCache>
                <c:formatCode>General</c:formatCode>
                <c:ptCount val="28"/>
                <c:pt idx="23">
                  <c:v>263.88</c:v>
                </c:pt>
                <c:pt idx="24">
                  <c:v>258.7529640073185</c:v>
                </c:pt>
                <c:pt idx="25">
                  <c:v>263.02646768471789</c:v>
                </c:pt>
                <c:pt idx="26">
                  <c:v>267.29997136211722</c:v>
                </c:pt>
                <c:pt idx="27">
                  <c:v>271.43562008218112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D-49FF-8683-B56BF2D552BE}"/>
            </c:ext>
          </c:extLst>
        </c:ser>
        <c:ser>
          <c:idx val="2"/>
          <c:order val="2"/>
          <c:tx>
            <c:strRef>
              <c:f>'Forecast-sheet'!$D$1</c:f>
              <c:strCache>
                <c:ptCount val="1"/>
                <c:pt idx="0">
                  <c:v>Lower Confidence Bound(Sales_kUSD)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'Forecast-sheet'!$A$2:$A$29</c:f>
              <c:numCache>
                <c:formatCode>mmm\-yy</c:formatCode>
                <c:ptCount val="2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46112</c:v>
                </c:pt>
              </c:numCache>
            </c:numRef>
          </c:cat>
          <c:val>
            <c:numRef>
              <c:f>'Forecast-sheet'!$D$2:$D$29</c:f>
              <c:numCache>
                <c:formatCode>General</c:formatCode>
                <c:ptCount val="28"/>
                <c:pt idx="23" formatCode="0.00">
                  <c:v>263.88</c:v>
                </c:pt>
                <c:pt idx="24" formatCode="0.00">
                  <c:v>235.56340046376621</c:v>
                </c:pt>
                <c:pt idx="25" formatCode="0.00">
                  <c:v>239.83679978836446</c:v>
                </c:pt>
                <c:pt idx="26" formatCode="0.00">
                  <c:v>244.11011795083229</c:v>
                </c:pt>
                <c:pt idx="27" formatCode="0.00">
                  <c:v>248.24548615718538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2D-49FF-8683-B56BF2D552BE}"/>
            </c:ext>
          </c:extLst>
        </c:ser>
        <c:ser>
          <c:idx val="3"/>
          <c:order val="3"/>
          <c:tx>
            <c:strRef>
              <c:f>'Forecast-sheet'!$E$1</c:f>
              <c:strCache>
                <c:ptCount val="1"/>
                <c:pt idx="0">
                  <c:v>Upper Confidence Bound(Sales_kUSD)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'Forecast-sheet'!$A$2:$A$29</c:f>
              <c:numCache>
                <c:formatCode>mmm\-yy</c:formatCode>
                <c:ptCount val="28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46112</c:v>
                </c:pt>
              </c:numCache>
            </c:numRef>
          </c:cat>
          <c:val>
            <c:numRef>
              <c:f>'Forecast-sheet'!$E$2:$E$29</c:f>
              <c:numCache>
                <c:formatCode>General</c:formatCode>
                <c:ptCount val="28"/>
                <c:pt idx="23" formatCode="0.00">
                  <c:v>263.88</c:v>
                </c:pt>
                <c:pt idx="24" formatCode="0.00">
                  <c:v>281.94252755087081</c:v>
                </c:pt>
                <c:pt idx="25" formatCode="0.00">
                  <c:v>286.21613558107134</c:v>
                </c:pt>
                <c:pt idx="26" formatCode="0.00">
                  <c:v>290.48982477340212</c:v>
                </c:pt>
                <c:pt idx="27" formatCode="0.00">
                  <c:v>294.62575400717685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2D-49FF-8683-B56BF2D55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508799"/>
        <c:axId val="1814510239"/>
      </c:lineChart>
      <c:catAx>
        <c:axId val="181450879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510239"/>
        <c:crosses val="autoZero"/>
        <c:auto val="1"/>
        <c:lblAlgn val="ctr"/>
        <c:lblOffset val="100"/>
        <c:noMultiLvlLbl val="0"/>
      </c:catAx>
      <c:valAx>
        <c:axId val="181451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50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11</xdr:row>
      <xdr:rowOff>121920</xdr:rowOff>
    </xdr:from>
    <xdr:to>
      <xdr:col>12</xdr:col>
      <xdr:colOff>213360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96A032-B738-0433-6702-B17C7BCF3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8</xdr:row>
      <xdr:rowOff>179070</xdr:rowOff>
    </xdr:from>
    <xdr:to>
      <xdr:col>7</xdr:col>
      <xdr:colOff>426720</xdr:colOff>
      <xdr:row>27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96757-3957-CCBA-42A5-B92562642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8</xdr:row>
      <xdr:rowOff>163830</xdr:rowOff>
    </xdr:from>
    <xdr:to>
      <xdr:col>17</xdr:col>
      <xdr:colOff>449580</xdr:colOff>
      <xdr:row>27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88F0EB-99FE-4998-4653-E4B9B1B9B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2</xdr:row>
      <xdr:rowOff>3810</xdr:rowOff>
    </xdr:from>
    <xdr:to>
      <xdr:col>15</xdr:col>
      <xdr:colOff>441960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021F2-A3B6-9798-9BEF-1F15892C5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20</xdr:row>
      <xdr:rowOff>118110</xdr:rowOff>
    </xdr:from>
    <xdr:to>
      <xdr:col>15</xdr:col>
      <xdr:colOff>434340</xdr:colOff>
      <xdr:row>38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EACEAE-FE09-D62B-A954-383EB5F47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220980</xdr:colOff>
      <xdr:row>2</xdr:row>
      <xdr:rowOff>3810</xdr:rowOff>
    </xdr:from>
    <xdr:to>
      <xdr:col>23</xdr:col>
      <xdr:colOff>525780</xdr:colOff>
      <xdr:row>17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C27E0D-59A9-FFE9-2E1F-23D581262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0</xdr:row>
      <xdr:rowOff>175260</xdr:rowOff>
    </xdr:from>
    <xdr:to>
      <xdr:col>17</xdr:col>
      <xdr:colOff>22860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802BA-5A14-1C47-90FF-73D59C610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163830</xdr:rowOff>
    </xdr:from>
    <xdr:to>
      <xdr:col>16</xdr:col>
      <xdr:colOff>320040</xdr:colOff>
      <xdr:row>18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1F5F0D-06A8-7E4D-8B3B-86D9962F5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4761</xdr:rowOff>
    </xdr:from>
    <xdr:to>
      <xdr:col>13</xdr:col>
      <xdr:colOff>438149</xdr:colOff>
      <xdr:row>17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C7302-E3A2-3A37-A7F9-C882457E5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4</xdr:row>
      <xdr:rowOff>4762</xdr:rowOff>
    </xdr:from>
    <xdr:to>
      <xdr:col>16</xdr:col>
      <xdr:colOff>571499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E9855-AD74-2B3B-0215-82DB6BD54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2.416569328707" createdVersion="8" refreshedVersion="8" minRefreshableVersion="3" recordCount="296" xr:uid="{6A8EB998-74DD-4684-A058-A7A884715368}">
  <cacheSource type="worksheet">
    <worksheetSource ref="A1:M1048576" sheet="customer_demographic_sales_data"/>
  </cacheSource>
  <cacheFields count="13">
    <cacheField name="Customer_ID" numFmtId="0">
      <sharedItems containsBlank="1"/>
    </cacheField>
    <cacheField name="Customer_Name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-5" maxValue="200"/>
    </cacheField>
    <cacheField name="City" numFmtId="0">
      <sharedItems containsBlank="1"/>
    </cacheField>
    <cacheField name="Region" numFmtId="0">
      <sharedItems containsBlank="1"/>
    </cacheField>
    <cacheField name="Product" numFmtId="0">
      <sharedItems containsBlank="1"/>
    </cacheField>
    <cacheField name="Quantity" numFmtId="0">
      <sharedItems containsString="0" containsBlank="1" containsNumber="1" containsInteger="1" minValue="-3" maxValue="9999"/>
    </cacheField>
    <cacheField name="Unit_Price" numFmtId="0">
      <sharedItems containsString="0" containsBlank="1" containsNumber="1" minValue="0" maxValue="1997.24"/>
    </cacheField>
    <cacheField name="Sales_Amount" numFmtId="0">
      <sharedItems containsString="0" containsBlank="1" containsNumber="1" minValue="-1500" maxValue="19805.599999999999"/>
    </cacheField>
    <cacheField name="Discount_Percent" numFmtId="0">
      <sharedItems containsString="0" containsBlank="1" containsNumber="1" minValue="-15" maxValue="110"/>
    </cacheField>
    <cacheField name="Purchase_Date" numFmtId="0">
      <sharedItems containsNonDate="0" containsDate="1" containsString="0" containsBlank="1" minDate="1977-08-20T00:00:00" maxDate="2026-05-10T00:00:00"/>
    </cacheField>
    <cacheField name="Purchase_Month" numFmtId="0">
      <sharedItems containsBlank="1" count="31">
        <s v="2025-10"/>
        <s v="2025-06"/>
        <s v="2024-12"/>
        <s v="2024-10"/>
        <s v="2026-01"/>
        <s v="2026-02"/>
        <s v="2025-11"/>
        <s v="2024-09"/>
        <s v="2025-12"/>
        <s v="2026-03"/>
        <s v="2024-11"/>
        <s v="2025-08"/>
        <s v="2024-08"/>
        <s v="2025-04"/>
        <s v="2024-07"/>
        <s v="2025-05"/>
        <s v="2025-09"/>
        <s v="2024-05"/>
        <s v="2026-05"/>
        <s v="2026-04"/>
        <s v="2025-07"/>
        <s v="2025-02"/>
        <s v="2025-03"/>
        <s v="2025-01"/>
        <s v="2024-06"/>
        <s v="2001-09"/>
        <s v="1995-01"/>
        <s v="2011-03"/>
        <s v="2021-05"/>
        <s v="1977-0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2.489753240741" createdVersion="8" refreshedVersion="8" minRefreshableVersion="3" recordCount="72" xr:uid="{0BBEF738-3611-411F-9950-AA9E3B925FF3}">
  <cacheSource type="worksheet">
    <worksheetSource name="Usage_Data_Feedback"/>
  </cacheSource>
  <cacheFields count="14">
    <cacheField name="Family_ID" numFmtId="0">
      <sharedItems count="12">
        <s v="F01"/>
        <s v="F02"/>
        <s v="F03"/>
        <s v="F04"/>
        <s v="F05"/>
        <s v="F06"/>
        <s v="F07"/>
        <s v="F08"/>
        <s v="F09"/>
        <s v="F10"/>
        <s v="F11"/>
        <s v="F12"/>
      </sharedItems>
    </cacheField>
    <cacheField name="Application" numFmtId="0">
      <sharedItems/>
    </cacheField>
    <cacheField name="Usage_Hours" numFmtId="0">
      <sharedItems containsSemiMixedTypes="0" containsString="0" containsNumber="1" minValue="5.4" maxValue="59.96"/>
    </cacheField>
    <cacheField name="Login_Count" numFmtId="0">
      <sharedItems containsSemiMixedTypes="0" containsString="0" containsNumber="1" containsInteger="1" minValue="5" maxValue="50"/>
    </cacheField>
    <cacheField name="Avg_Session_Time_Min" numFmtId="0">
      <sharedItems containsSemiMixedTypes="0" containsString="0" containsNumber="1" minValue="15.34" maxValue="117.05"/>
    </cacheField>
    <cacheField name="Total_Usage_Time_Hours" numFmtId="0">
      <sharedItems containsSemiMixedTypes="0" containsString="0" containsNumber="1" minValue="123.13" maxValue="2739.1"/>
    </cacheField>
    <cacheField name="Feedback.Overall_Satisfaction_Rating" numFmtId="0">
      <sharedItems containsSemiMixedTypes="0" containsString="0" containsNumber="1" containsInteger="1" minValue="1" maxValue="10"/>
    </cacheField>
    <cacheField name="Feedback.Performance_Rating" numFmtId="0">
      <sharedItems containsSemiMixedTypes="0" containsString="0" containsNumber="1" containsInteger="1" minValue="1" maxValue="10"/>
    </cacheField>
    <cacheField name="Feedback.Ease_of_Use_Rating" numFmtId="0">
      <sharedItems containsSemiMixedTypes="0" containsString="0" containsNumber="1" containsInteger="1" minValue="1" maxValue="10"/>
    </cacheField>
    <cacheField name="Feedback.Most_Used_Application" numFmtId="0">
      <sharedItems count="5">
        <s v="Productivity"/>
        <s v="Security Tools"/>
        <s v="Internet Browser"/>
        <s v="Games"/>
        <s v="Movies"/>
      </sharedItems>
    </cacheField>
    <cacheField name="Feedback.Would_Recommend" numFmtId="0">
      <sharedItems/>
    </cacheField>
    <cacheField name="Feedback.Comments" numFmtId="0">
      <sharedItems/>
    </cacheField>
    <cacheField name="Overall_Rating" numFmtId="0">
      <sharedItems containsSemiMixedTypes="0" containsString="0" containsNumber="1" minValue="4.67" maxValue="7.33"/>
    </cacheField>
    <cacheField name="Satisfaction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2.51611689815" createdVersion="8" refreshedVersion="8" minRefreshableVersion="3" recordCount="31" xr:uid="{C821AC5E-EA08-418E-8177-8350D311CC3D}">
  <cacheSource type="worksheet">
    <worksheetSource ref="A1:C1048576" sheet="S3-Q9"/>
  </cacheSource>
  <cacheFields count="3">
    <cacheField name="Customer_ID" numFmtId="0">
      <sharedItems containsBlank="1"/>
    </cacheField>
    <cacheField name="Product_Category" numFmtId="0">
      <sharedItems containsBlank="1" count="4">
        <s v="Electronics"/>
        <s v="Clothing"/>
        <s v="Home Appliances"/>
        <m/>
      </sharedItems>
    </cacheField>
    <cacheField name="Satisfaction_Level" numFmtId="0">
      <sharedItems containsBlank="1" count="4">
        <s v="Satisfied"/>
        <s v="Neutral"/>
        <s v="Dissatisfi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s v="CUST1000"/>
    <s v="Allison Hill"/>
    <s v="Female"/>
    <n v="58"/>
    <s v="East Jill"/>
    <s v="South"/>
    <s v="Mobile"/>
    <n v="2"/>
    <n v="98.77"/>
    <n v="197.54"/>
    <n v="5.58"/>
    <d v="2025-10-16T00:00:00"/>
    <x v="0"/>
  </r>
  <r>
    <s v="CUST1001"/>
    <s v="Kimberly Garza"/>
    <s v="Female"/>
    <n v="24"/>
    <s v="North Claytonbury"/>
    <s v="North"/>
    <s v="Laptop"/>
    <n v="9"/>
    <n v="219.53"/>
    <n v="1975.77"/>
    <n v="3.75"/>
    <d v="2025-06-05T00:00:00"/>
    <x v="1"/>
  </r>
  <r>
    <s v="CUST1002"/>
    <s v="Kristina Baldwin"/>
    <s v="Other"/>
    <n v="32"/>
    <s v="Robinsonshire"/>
    <s v="South"/>
    <s v="Camera"/>
    <n v="9"/>
    <n v="1223.94"/>
    <n v="11015.46"/>
    <n v="26"/>
    <d v="2024-12-11T00:00:00"/>
    <x v="2"/>
  </r>
  <r>
    <s v="CUST1003"/>
    <s v="Abigail Shaffer"/>
    <s v="Other"/>
    <n v="52"/>
    <s v="Petersonberg"/>
    <s v="East"/>
    <s v="Laptop"/>
    <n v="7"/>
    <n v="479.86"/>
    <n v="3359.02"/>
    <n v="30.35"/>
    <d v="2024-10-23T00:00:00"/>
    <x v="3"/>
  </r>
  <r>
    <s v="CUST1004"/>
    <s v="Gabrielle Davis"/>
    <s v="Male"/>
    <n v="28"/>
    <s v="West Melanieview"/>
    <s v="South"/>
    <s v="Tablet"/>
    <n v="7"/>
    <n v="713.49"/>
    <n v="4994.43"/>
    <n v="4.09"/>
    <d v="2026-01-25T00:00:00"/>
    <x v="4"/>
  </r>
  <r>
    <s v="CUST1005"/>
    <s v="Joe Martinez"/>
    <s v="Female"/>
    <n v="42"/>
    <s v="Millerport"/>
    <s v="East"/>
    <s v="Laptop"/>
    <n v="2"/>
    <n v="750.01"/>
    <n v="1500.02"/>
    <n v="29.19"/>
    <d v="2026-02-12T00:00:00"/>
    <x v="5"/>
  </r>
  <r>
    <s v="CUST1006"/>
    <s v="Stacey Ward"/>
    <s v="Female"/>
    <n v="52"/>
    <s v="Lake Chad"/>
    <s v="North"/>
    <s v="Smartwatch"/>
    <n v="2"/>
    <n v="1947.58"/>
    <n v="3895.16"/>
    <n v="11.73"/>
    <d v="2025-10-04T00:00:00"/>
    <x v="0"/>
  </r>
  <r>
    <s v="CUST1007"/>
    <s v="Dylan Miller"/>
    <s v="Female"/>
    <n v="58"/>
    <s v="Port Craig"/>
    <s v="South"/>
    <s v="Camera"/>
    <n v="10"/>
    <n v="1776.63"/>
    <n v="17766.3"/>
    <n v="2.78"/>
    <d v="2024-12-10T00:00:00"/>
    <x v="2"/>
  </r>
  <r>
    <s v="CUST1008"/>
    <s v="Roy Martin"/>
    <s v="Male"/>
    <n v="60"/>
    <s v="Jasonview"/>
    <s v="South"/>
    <s v="Laptop"/>
    <n v="4"/>
    <n v="1557.48"/>
    <n v="6229.92"/>
    <n v="15.21"/>
    <d v="2025-11-05T00:00:00"/>
    <x v="6"/>
  </r>
  <r>
    <s v="CUST1009"/>
    <s v="Maria Lynch"/>
    <s v="Female"/>
    <n v="47"/>
    <s v="New Jessica"/>
    <s v="South"/>
    <s v="Camera"/>
    <n v="6"/>
    <n v="367.18"/>
    <n v="2203.08"/>
    <n v="10.68"/>
    <d v="2024-09-12T00:00:00"/>
    <x v="7"/>
  </r>
  <r>
    <s v="CUST1010"/>
    <s v="Devin Schaefer"/>
    <s v="Male"/>
    <n v="61"/>
    <s v="Lake Mark"/>
    <s v="South"/>
    <s v="Mobile"/>
    <n v="2"/>
    <n v="1237.81"/>
    <n v="2475.62"/>
    <n v="18.489999999999998"/>
    <d v="2025-12-26T00:00:00"/>
    <x v="8"/>
  </r>
  <r>
    <s v="CUST1011"/>
    <s v="Crystal Johnson"/>
    <s v="Female"/>
    <n v="35"/>
    <s v="Richardland"/>
    <s v="North"/>
    <s v="Mobile"/>
    <n v="9"/>
    <n v="478.25"/>
    <n v="4304.25"/>
    <n v="32.869999999999997"/>
    <d v="2024-10-19T00:00:00"/>
    <x v="3"/>
  </r>
  <r>
    <s v="CUST1012"/>
    <s v="Latoya Robbins"/>
    <s v="Male"/>
    <n v="69"/>
    <s v="Lake Victor"/>
    <s v="South"/>
    <s v="Smartwatch"/>
    <n v="6"/>
    <n v="832.27"/>
    <n v="4993.62"/>
    <n v="35.049999999999997"/>
    <d v="2026-03-27T00:00:00"/>
    <x v="9"/>
  </r>
  <r>
    <s v="CUST1013"/>
    <s v="Judy Baker"/>
    <s v="Female"/>
    <n v="38"/>
    <s v="Lake Anna"/>
    <s v="West"/>
    <s v="Mobile"/>
    <n v="4"/>
    <n v="1328.11"/>
    <n v="5312.44"/>
    <n v="10.6"/>
    <d v="2024-11-29T00:00:00"/>
    <x v="10"/>
  </r>
  <r>
    <s v="CUST1014"/>
    <s v="Jessica Silva"/>
    <s v="Other"/>
    <n v="33"/>
    <s v="Jeffreyberg"/>
    <s v="West"/>
    <s v="Smartwatch"/>
    <n v="9"/>
    <n v="1101.01"/>
    <n v="9909.09"/>
    <n v="15.98"/>
    <d v="2025-06-08T00:00:00"/>
    <x v="1"/>
  </r>
  <r>
    <s v="CUST1015"/>
    <s v="Peter Callahan Jr."/>
    <s v="Male"/>
    <n v="32"/>
    <s v="Port Erin"/>
    <s v="North"/>
    <s v="Laptop"/>
    <n v="3"/>
    <n v="1043.58"/>
    <n v="3130.74"/>
    <n v="6.11"/>
    <d v="2025-08-15T00:00:00"/>
    <x v="11"/>
  </r>
  <r>
    <s v="CUST1016"/>
    <s v="James Ferrell"/>
    <s v="Female"/>
    <n v="28"/>
    <s v="Tashatown"/>
    <s v="West"/>
    <s v="Smartwatch"/>
    <n v="7"/>
    <n v="1213"/>
    <n v="8491"/>
    <n v="39.840000000000003"/>
    <d v="2025-10-19T00:00:00"/>
    <x v="0"/>
  </r>
  <r>
    <s v="CUST1017"/>
    <s v="Melanie Herrera"/>
    <s v="Male"/>
    <n v="51"/>
    <s v="Kaylamouth"/>
    <s v="North"/>
    <s v="Camera"/>
    <n v="5"/>
    <n v="1943.6"/>
    <n v="9718"/>
    <n v="35.39"/>
    <d v="2024-08-03T00:00:00"/>
    <x v="12"/>
  </r>
  <r>
    <s v="CUST1018"/>
    <s v="Christopher Smith"/>
    <s v="Female"/>
    <n v="66"/>
    <s v="Teresaburgh"/>
    <s v="North"/>
    <s v="Tablet"/>
    <n v="5"/>
    <n v="1548.77"/>
    <n v="7743.85"/>
    <n v="17.39"/>
    <d v="2025-06-07T00:00:00"/>
    <x v="1"/>
  </r>
  <r>
    <s v="CUST1019"/>
    <s v="Sheila Evans"/>
    <s v="Other"/>
    <n v="47"/>
    <s v="East Nathaniel"/>
    <s v="East"/>
    <s v="Smartwatch"/>
    <n v="1"/>
    <n v="1909.94"/>
    <n v="1909.94"/>
    <n v="30.48"/>
    <d v="2024-09-11T00:00:00"/>
    <x v="7"/>
  </r>
  <r>
    <s v="CUST1020"/>
    <s v="Paula Moreno"/>
    <s v="Female"/>
    <n v="50"/>
    <s v="New Mariotown"/>
    <s v="South"/>
    <s v="Mobile"/>
    <n v="2"/>
    <n v="1747.51"/>
    <n v="3495.02"/>
    <n v="14.96"/>
    <d v="2024-08-03T00:00:00"/>
    <x v="12"/>
  </r>
  <r>
    <s v="CUST1021"/>
    <s v="Sherry Decker"/>
    <s v="Other"/>
    <n v="28"/>
    <s v="Johnbury"/>
    <s v="North"/>
    <s v="Smartwatch"/>
    <n v="9"/>
    <n v="1909.32"/>
    <n v="17183.88"/>
    <n v="12.97"/>
    <d v="2026-03-21T00:00:00"/>
    <x v="9"/>
  </r>
  <r>
    <s v="CUST1022"/>
    <s v="Angela Dennis"/>
    <s v="Female"/>
    <n v="19"/>
    <s v="Port Amandaberg"/>
    <s v="South"/>
    <s v="Laptop"/>
    <n v="2"/>
    <n v="1861.74"/>
    <n v="3723.48"/>
    <n v="9.6300000000000008"/>
    <d v="2024-08-16T00:00:00"/>
    <x v="12"/>
  </r>
  <r>
    <s v="CUST1023"/>
    <s v="Theresa Martin"/>
    <s v="Female"/>
    <n v="54"/>
    <s v="Brandtside"/>
    <s v="North"/>
    <s v="Smartwatch"/>
    <n v="2"/>
    <n v="217.02"/>
    <n v="434.04"/>
    <n v="30.63"/>
    <d v="2025-12-16T00:00:00"/>
    <x v="8"/>
  </r>
  <r>
    <s v="CUST1024"/>
    <s v="Christina Collins"/>
    <s v="Male"/>
    <n v="26"/>
    <s v="Samuelhaven"/>
    <s v="East"/>
    <s v="Smartwatch"/>
    <n v="8"/>
    <n v="1896.35"/>
    <n v="15170.8"/>
    <n v="34.9"/>
    <d v="2025-04-24T00:00:00"/>
    <x v="13"/>
  </r>
  <r>
    <s v="CUST1025"/>
    <s v="Danny Morgan"/>
    <s v="Other"/>
    <n v="45"/>
    <s v="New Jeffrey"/>
    <s v="South"/>
    <s v="Camera"/>
    <n v="4"/>
    <n v="1861.38"/>
    <n v="7445.52"/>
    <n v="12.47"/>
    <d v="2024-07-03T00:00:00"/>
    <x v="14"/>
  </r>
  <r>
    <s v="CUST1026"/>
    <s v="Amy Jones"/>
    <s v="Other"/>
    <n v="60"/>
    <s v="Port Markhaven"/>
    <s v="West"/>
    <s v="Laptop"/>
    <n v="6"/>
    <n v="904.3"/>
    <n v="5425.8"/>
    <n v="9.92"/>
    <d v="2024-11-09T00:00:00"/>
    <x v="10"/>
  </r>
  <r>
    <s v="CUST1027"/>
    <s v="John Ryan"/>
    <s v="Other"/>
    <n v="22"/>
    <s v="Sanchezfort"/>
    <s v="South"/>
    <s v="Smartwatch"/>
    <n v="6"/>
    <n v="91.02"/>
    <n v="546.12"/>
    <n v="8.81"/>
    <d v="2026-01-26T00:00:00"/>
    <x v="4"/>
  </r>
  <r>
    <s v="CUST1028"/>
    <s v="Brandon Hopkins"/>
    <s v="Male"/>
    <n v="22"/>
    <s v="Rodneymouth"/>
    <s v="East"/>
    <s v="Laptop"/>
    <n v="1"/>
    <n v="496.44"/>
    <n v="496.44"/>
    <n v="20.57"/>
    <d v="2026-03-10T00:00:00"/>
    <x v="9"/>
  </r>
  <r>
    <s v="CUST1029"/>
    <s v="Megan Joyce"/>
    <s v="Male"/>
    <n v="35"/>
    <s v="North Richardmouth"/>
    <s v="West"/>
    <s v="Mobile"/>
    <n v="8"/>
    <n v="467.76"/>
    <n v="3742.08"/>
    <n v="31.38"/>
    <d v="2026-01-20T00:00:00"/>
    <x v="4"/>
  </r>
  <r>
    <s v="CUST1030"/>
    <s v="Danielle Lee"/>
    <s v="Male"/>
    <n v="69"/>
    <s v="Taylorburgh"/>
    <s v="West"/>
    <s v="Tablet"/>
    <n v="7"/>
    <n v="421.3"/>
    <n v="2949.1"/>
    <n v="16.940000000000001"/>
    <d v="2024-12-11T00:00:00"/>
    <x v="2"/>
  </r>
  <r>
    <s v="CUST1031"/>
    <s v="Shannon Jones"/>
    <s v="Other"/>
    <n v="47"/>
    <s v="North Deniseside"/>
    <s v="North"/>
    <s v="Laptop"/>
    <n v="1"/>
    <n v="1363.06"/>
    <n v="1363.06"/>
    <n v="16.100000000000001"/>
    <d v="2026-02-17T00:00:00"/>
    <x v="5"/>
  </r>
  <r>
    <s v="CUST1032"/>
    <s v="Brandon Molina"/>
    <s v="Male"/>
    <n v="39"/>
    <s v="East Richard"/>
    <s v="West"/>
    <s v="Mobile"/>
    <n v="2"/>
    <n v="534.88"/>
    <n v="1069.76"/>
    <n v="16.88"/>
    <d v="2025-05-17T00:00:00"/>
    <x v="15"/>
  </r>
  <r>
    <s v="CUST1033"/>
    <s v="James Brown"/>
    <s v="Male"/>
    <n v="35"/>
    <s v="Smithfurt"/>
    <s v="West"/>
    <s v="Smartwatch"/>
    <n v="8"/>
    <n v="537.12"/>
    <n v="4296.96"/>
    <n v="3.92"/>
    <d v="2024-11-30T00:00:00"/>
    <x v="10"/>
  </r>
  <r>
    <s v="CUST1034"/>
    <s v="Rachel Mitchell"/>
    <s v="Male"/>
    <n v="59"/>
    <s v="Mooreport"/>
    <s v="South"/>
    <s v="Mobile"/>
    <n v="9"/>
    <n v="1680.25"/>
    <n v="15122.25"/>
    <n v="16.260000000000002"/>
    <d v="2024-10-25T00:00:00"/>
    <x v="3"/>
  </r>
  <r>
    <s v="CUST1035"/>
    <s v="Lauren Daniels"/>
    <s v="Male"/>
    <n v="48"/>
    <s v="Brianshire"/>
    <s v="South"/>
    <s v="Headphones"/>
    <n v="4"/>
    <n v="1736.07"/>
    <n v="6944.28"/>
    <n v="0.09"/>
    <d v="2025-05-14T00:00:00"/>
    <x v="15"/>
  </r>
  <r>
    <s v="CUST1036"/>
    <s v="Sarah Moore"/>
    <s v="Female"/>
    <n v="42"/>
    <s v="Port Jacobland"/>
    <s v="East"/>
    <s v="Headphones"/>
    <n v="5"/>
    <n v="1856.71"/>
    <n v="9283.5499999999993"/>
    <n v="27.86"/>
    <d v="2025-10-15T00:00:00"/>
    <x v="0"/>
  </r>
  <r>
    <s v="CUST1037"/>
    <s v="Jennifer David"/>
    <s v="Female"/>
    <n v="64"/>
    <s v="New Brooke"/>
    <s v="South"/>
    <s v="Mobile"/>
    <n v="9"/>
    <n v="1340.65"/>
    <n v="12065.85"/>
    <n v="11.87"/>
    <d v="2025-09-02T00:00:00"/>
    <x v="16"/>
  </r>
  <r>
    <s v="CUST1038"/>
    <s v="Matthew Cunningham"/>
    <s v="Male"/>
    <n v="21"/>
    <s v="Sarahborough"/>
    <s v="East"/>
    <s v="Laptop"/>
    <n v="10"/>
    <n v="1484.69"/>
    <n v="14846.9"/>
    <n v="2.0099999999999998"/>
    <d v="2025-10-11T00:00:00"/>
    <x v="0"/>
  </r>
  <r>
    <s v="CUST1039"/>
    <s v="Cynthia Foster"/>
    <s v="Other"/>
    <n v="48"/>
    <s v="Stephenland"/>
    <s v="South"/>
    <s v="Laptop"/>
    <n v="9"/>
    <n v="1842.8"/>
    <n v="16585.2"/>
    <n v="38.43"/>
    <d v="2024-05-16T00:00:00"/>
    <x v="17"/>
  </r>
  <r>
    <s v="CUST1040"/>
    <s v="Zachary Ferrell"/>
    <s v="Male"/>
    <n v="23"/>
    <s v="New Jasonview"/>
    <s v="South"/>
    <s v="Headphones"/>
    <n v="3"/>
    <n v="183.62"/>
    <n v="550.86"/>
    <n v="4.8"/>
    <d v="2024-08-19T00:00:00"/>
    <x v="12"/>
  </r>
  <r>
    <s v="CUST1041"/>
    <s v="Shirley Suarez"/>
    <s v="Male"/>
    <n v="54"/>
    <s v="Justinmouth"/>
    <s v="North"/>
    <s v="Headphones"/>
    <n v="4"/>
    <n v="1178.8900000000001"/>
    <n v="4715.5600000000004"/>
    <n v="26.29"/>
    <d v="2026-02-15T00:00:00"/>
    <x v="5"/>
  </r>
  <r>
    <s v="CUST1042"/>
    <s v="Elizabeth Riggs"/>
    <s v="Female"/>
    <n v="54"/>
    <s v="Lake Lisaport"/>
    <s v="South"/>
    <s v="Camera"/>
    <n v="9"/>
    <n v="666.92"/>
    <n v="6002.28"/>
    <n v="28.65"/>
    <d v="2026-05-02T00:00:00"/>
    <x v="18"/>
  </r>
  <r>
    <s v="CUST1043"/>
    <s v="Teresa Taylor"/>
    <s v="Other"/>
    <n v="33"/>
    <s v="North Juliaberg"/>
    <s v="East"/>
    <s v="Headphones"/>
    <n v="5"/>
    <n v="821.78"/>
    <n v="4108.8999999999996"/>
    <n v="12.65"/>
    <d v="2024-12-06T00:00:00"/>
    <x v="2"/>
  </r>
  <r>
    <s v="CUST1044"/>
    <s v="Daniel Cooper"/>
    <s v="Other"/>
    <n v="66"/>
    <s v="Williamview"/>
    <s v="North"/>
    <s v="Laptop"/>
    <n v="2"/>
    <n v="68.17"/>
    <n v="136.34"/>
    <n v="21.51"/>
    <d v="2026-04-12T00:00:00"/>
    <x v="19"/>
  </r>
  <r>
    <s v="CUST1045"/>
    <s v="Amber Walters"/>
    <s v="Female"/>
    <n v="50"/>
    <s v="Bradleymouth"/>
    <s v="North"/>
    <s v="Mobile"/>
    <n v="5"/>
    <n v="308.29000000000002"/>
    <n v="1541.45"/>
    <n v="14.78"/>
    <d v="2025-12-28T00:00:00"/>
    <x v="8"/>
  </r>
  <r>
    <s v="CUST1046"/>
    <s v="William Martin"/>
    <s v="Other"/>
    <n v="28"/>
    <s v="Arnoldchester"/>
    <s v="East"/>
    <s v="Smartwatch"/>
    <n v="8"/>
    <n v="1675.8"/>
    <n v="13406.4"/>
    <n v="39.35"/>
    <d v="2025-07-18T00:00:00"/>
    <x v="20"/>
  </r>
  <r>
    <s v="CUST1047"/>
    <s v="Benjamin Ware"/>
    <s v="Other"/>
    <n v="69"/>
    <s v="New Barry"/>
    <s v="East"/>
    <s v="Camera"/>
    <n v="9"/>
    <n v="65.260000000000005"/>
    <n v="587.34"/>
    <n v="4.1399999999999997"/>
    <d v="2025-02-19T00:00:00"/>
    <x v="21"/>
  </r>
  <r>
    <s v="CUST1048"/>
    <s v="Brittany Anderson"/>
    <s v="Male"/>
    <n v="26"/>
    <s v="Michaelton"/>
    <s v="South"/>
    <s v="Tablet"/>
    <n v="5"/>
    <n v="275.08999999999997"/>
    <n v="1375.45"/>
    <n v="11.27"/>
    <d v="2026-04-07T00:00:00"/>
    <x v="19"/>
  </r>
  <r>
    <s v="CUST1049"/>
    <s v="Michael Estrada"/>
    <s v="Other"/>
    <n v="31"/>
    <s v="Kimberlychester"/>
    <s v="East"/>
    <s v="Smartwatch"/>
    <n v="6"/>
    <n v="447.01"/>
    <n v="2682.06"/>
    <n v="19.54"/>
    <d v="2025-09-03T00:00:00"/>
    <x v="16"/>
  </r>
  <r>
    <s v="CUST1050"/>
    <s v="Tammy Young"/>
    <s v="Female"/>
    <n v="21"/>
    <s v="Port Lisa"/>
    <s v="North"/>
    <s v="Laptop"/>
    <n v="2"/>
    <n v="1286.8499999999999"/>
    <n v="2573.6999999999998"/>
    <n v="13.34"/>
    <d v="2026-03-24T00:00:00"/>
    <x v="9"/>
  </r>
  <r>
    <s v="CUST1051"/>
    <s v="Christopher Middleton"/>
    <s v="Female"/>
    <n v="26"/>
    <s v="Phambury"/>
    <s v="West"/>
    <s v="Smartwatch"/>
    <n v="5"/>
    <n v="365.08"/>
    <n v="1825.4"/>
    <n v="0.39"/>
    <d v="2024-12-02T00:00:00"/>
    <x v="2"/>
  </r>
  <r>
    <s v="CUST1052"/>
    <s v="Michael Reyes"/>
    <s v="Female"/>
    <n v="22"/>
    <s v="Port Thomasborough"/>
    <s v="South"/>
    <s v="Headphones"/>
    <n v="3"/>
    <n v="1113.9000000000001"/>
    <n v="3341.7"/>
    <n v="5.0999999999999996"/>
    <d v="2026-02-02T00:00:00"/>
    <x v="5"/>
  </r>
  <r>
    <s v="CUST1053"/>
    <s v="Hannah Hoover"/>
    <s v="Male"/>
    <n v="37"/>
    <s v="East Andrew"/>
    <s v="East"/>
    <s v="Mobile"/>
    <n v="6"/>
    <n v="1803.01"/>
    <n v="10818.06"/>
    <n v="27.28"/>
    <d v="2024-10-06T00:00:00"/>
    <x v="3"/>
  </r>
  <r>
    <s v="CUST1054"/>
    <s v="Donald Jones"/>
    <s v="Other"/>
    <n v="60"/>
    <s v="Michaelhaven"/>
    <s v="West"/>
    <s v="Smartwatch"/>
    <n v="2"/>
    <n v="739.67"/>
    <n v="1479.34"/>
    <n v="29.98"/>
    <d v="2025-03-15T00:00:00"/>
    <x v="22"/>
  </r>
  <r>
    <s v="CUST1055"/>
    <s v="Sarah Rivera"/>
    <s v="Male"/>
    <n v="33"/>
    <s v="North Natalieview"/>
    <s v="West"/>
    <s v="Laptop"/>
    <n v="3"/>
    <n v="1953.6"/>
    <n v="5860.8"/>
    <n v="7.17"/>
    <d v="2024-09-24T00:00:00"/>
    <x v="7"/>
  </r>
  <r>
    <s v="CUST1056"/>
    <s v="Victoria Johnson"/>
    <s v="Other"/>
    <n v="39"/>
    <s v="Reedmouth"/>
    <s v="South"/>
    <s v="Tablet"/>
    <n v="7"/>
    <n v="1614.36"/>
    <n v="11300.52"/>
    <n v="6.37"/>
    <d v="2025-04-12T00:00:00"/>
    <x v="13"/>
  </r>
  <r>
    <s v="CUST1057"/>
    <s v="Kayla Cruz"/>
    <s v="Male"/>
    <n v="62"/>
    <s v="West Bradley"/>
    <s v="West"/>
    <s v="Mobile"/>
    <n v="2"/>
    <n v="795.96"/>
    <n v="1591.92"/>
    <n v="7.98"/>
    <d v="2025-04-12T00:00:00"/>
    <x v="13"/>
  </r>
  <r>
    <s v="CUST1058"/>
    <s v="Timothy Ryan"/>
    <s v="Male"/>
    <n v="47"/>
    <s v="West Ryan"/>
    <s v="South"/>
    <s v="Laptop"/>
    <n v="6"/>
    <n v="645.12"/>
    <n v="3870.72"/>
    <n v="26.4"/>
    <d v="2025-10-06T00:00:00"/>
    <x v="0"/>
  </r>
  <r>
    <s v="CUST1059"/>
    <s v="Lisa Alvarado"/>
    <s v="Male"/>
    <n v="43"/>
    <s v="Lake Rachelhaven"/>
    <s v="East"/>
    <s v="Tablet"/>
    <n v="6"/>
    <n v="593.28"/>
    <n v="3559.68"/>
    <n v="25.66"/>
    <d v="2025-01-04T00:00:00"/>
    <x v="23"/>
  </r>
  <r>
    <s v="CUST1060"/>
    <s v="Erika Terry"/>
    <s v="Male"/>
    <n v="43"/>
    <s v="East Robert"/>
    <s v="North"/>
    <s v="Tablet"/>
    <n v="9"/>
    <n v="695.74"/>
    <n v="6261.66"/>
    <n v="7.14"/>
    <d v="2026-05-09T00:00:00"/>
    <x v="18"/>
  </r>
  <r>
    <s v="CUST1061"/>
    <s v="Paul Thompson"/>
    <s v="Female"/>
    <n v="34"/>
    <s v="Richardtown"/>
    <s v="East"/>
    <s v="Camera"/>
    <n v="1"/>
    <n v="261.38"/>
    <n v="261.38"/>
    <n v="31.46"/>
    <d v="2024-12-31T00:00:00"/>
    <x v="2"/>
  </r>
  <r>
    <s v="CUST1062"/>
    <s v="Jeffrey Carpenter"/>
    <s v="Male"/>
    <n v="45"/>
    <s v="Stevenmouth"/>
    <s v="West"/>
    <s v="Smartwatch"/>
    <n v="10"/>
    <n v="1969.26"/>
    <n v="19692.599999999999"/>
    <n v="7.6"/>
    <d v="2025-10-15T00:00:00"/>
    <x v="0"/>
  </r>
  <r>
    <s v="CUST1063"/>
    <s v="John Santana"/>
    <s v="Other"/>
    <n v="20"/>
    <s v="Lake Christopher"/>
    <s v="South"/>
    <s v="Tablet"/>
    <n v="7"/>
    <n v="53.3"/>
    <n v="373.1"/>
    <n v="17.25"/>
    <d v="2025-06-13T00:00:00"/>
    <x v="1"/>
  </r>
  <r>
    <s v="CUST1064"/>
    <s v="Lisa Davis"/>
    <s v="Other"/>
    <n v="60"/>
    <s v="Lake Lance"/>
    <s v="North"/>
    <s v="Camera"/>
    <n v="6"/>
    <n v="1265.1500000000001"/>
    <n v="7590.9"/>
    <n v="36"/>
    <d v="2026-01-25T00:00:00"/>
    <x v="4"/>
  </r>
  <r>
    <s v="CUST1065"/>
    <s v="Alexander Sanchez"/>
    <s v="Female"/>
    <n v="50"/>
    <s v="Carrland"/>
    <s v="West"/>
    <s v="Camera"/>
    <n v="5"/>
    <n v="1350.44"/>
    <n v="6752.2"/>
    <n v="11.83"/>
    <d v="2025-04-27T00:00:00"/>
    <x v="13"/>
  </r>
  <r>
    <s v="CUST1066"/>
    <s v="Mark Lee"/>
    <s v="Female"/>
    <n v="26"/>
    <s v="Snyderbury"/>
    <s v="South"/>
    <s v="Smartwatch"/>
    <n v="4"/>
    <n v="869.87"/>
    <n v="3479.48"/>
    <n v="22.76"/>
    <d v="2024-08-31T00:00:00"/>
    <x v="12"/>
  </r>
  <r>
    <s v="CUST1067"/>
    <s v="Abigail Potter"/>
    <s v="Female"/>
    <n v="43"/>
    <s v="Port Ronaldburgh"/>
    <s v="East"/>
    <s v="Mobile"/>
    <n v="9"/>
    <n v="1675.76"/>
    <n v="15081.84"/>
    <n v="17.2"/>
    <d v="2026-01-23T00:00:00"/>
    <x v="4"/>
  </r>
  <r>
    <s v="CUST1068"/>
    <s v="Kelly Williams"/>
    <s v="Female"/>
    <n v="55"/>
    <s v="Port David"/>
    <s v="West"/>
    <s v="Headphones"/>
    <n v="10"/>
    <n v="1326.68"/>
    <n v="13266.8"/>
    <n v="27.03"/>
    <d v="2024-08-20T00:00:00"/>
    <x v="12"/>
  </r>
  <r>
    <s v="CUST1069"/>
    <s v="Mary Travis"/>
    <s v="Other"/>
    <n v="50"/>
    <s v="Stephaniemouth"/>
    <s v="South"/>
    <s v="Camera"/>
    <n v="8"/>
    <n v="1597.78"/>
    <n v="12782.24"/>
    <n v="3.39"/>
    <d v="2025-08-27T00:00:00"/>
    <x v="11"/>
  </r>
  <r>
    <s v="CUST1070"/>
    <s v="Stephanie Simmons"/>
    <s v="Male"/>
    <n v="50"/>
    <s v="Merrittfort"/>
    <s v="East"/>
    <s v="Mobile"/>
    <n v="10"/>
    <n v="703.62"/>
    <n v="7036.2"/>
    <n v="32.26"/>
    <d v="2025-04-23T00:00:00"/>
    <x v="13"/>
  </r>
  <r>
    <s v="CUST1071"/>
    <s v="David Walsh"/>
    <s v="Female"/>
    <n v="27"/>
    <s v="Simsview"/>
    <s v="North"/>
    <s v="Headphones"/>
    <n v="1"/>
    <n v="140.12"/>
    <n v="140.12"/>
    <n v="16.579999999999998"/>
    <d v="2025-04-15T00:00:00"/>
    <x v="13"/>
  </r>
  <r>
    <s v="CUST1072"/>
    <s v="Dustin Nelson"/>
    <s v="Other"/>
    <n v="58"/>
    <s v="Patricialand"/>
    <s v="West"/>
    <s v="Headphones"/>
    <n v="10"/>
    <n v="429.15"/>
    <n v="4291.5"/>
    <n v="15.99"/>
    <d v="2024-08-24T00:00:00"/>
    <x v="12"/>
  </r>
  <r>
    <s v="CUST1073"/>
    <s v="James Hernandez"/>
    <s v="Male"/>
    <n v="27"/>
    <s v="North Robert"/>
    <s v="West"/>
    <s v="Mobile"/>
    <n v="1"/>
    <n v="1790.69"/>
    <n v="1790.69"/>
    <n v="7.04"/>
    <d v="2025-01-21T00:00:00"/>
    <x v="23"/>
  </r>
  <r>
    <s v="CUST1074"/>
    <s v="Jennifer Clark"/>
    <s v="Other"/>
    <n v="62"/>
    <s v="Priceshire"/>
    <s v="South"/>
    <s v="Laptop"/>
    <n v="9"/>
    <n v="955.87"/>
    <n v="8602.83"/>
    <n v="18.260000000000002"/>
    <d v="2025-10-31T00:00:00"/>
    <x v="0"/>
  </r>
  <r>
    <s v="CUST1075"/>
    <s v="Spencer Johnston"/>
    <s v="Other"/>
    <n v="69"/>
    <s v="Smithstad"/>
    <s v="East"/>
    <s v="Headphones"/>
    <n v="8"/>
    <n v="1351.78"/>
    <n v="10814.24"/>
    <n v="24.51"/>
    <d v="2024-12-26T00:00:00"/>
    <x v="2"/>
  </r>
  <r>
    <s v="CUST1076"/>
    <s v="Sarah Ashley"/>
    <s v="Other"/>
    <n v="64"/>
    <s v="Medinaside"/>
    <s v="West"/>
    <s v="Mobile"/>
    <n v="9"/>
    <n v="882.14"/>
    <n v="7939.26"/>
    <n v="29.75"/>
    <d v="2026-01-20T00:00:00"/>
    <x v="4"/>
  </r>
  <r>
    <s v="CUST1077"/>
    <s v="Connie Robinson"/>
    <s v="Male"/>
    <n v="48"/>
    <s v="Tuckerfurt"/>
    <s v="East"/>
    <s v="Smartwatch"/>
    <n v="8"/>
    <n v="555.41999999999996"/>
    <n v="4443.3599999999997"/>
    <n v="19.38"/>
    <d v="2025-01-25T00:00:00"/>
    <x v="23"/>
  </r>
  <r>
    <s v="CUST1078"/>
    <s v="Rebecca Ramsey"/>
    <s v="Other"/>
    <n v="33"/>
    <s v="Calhounside"/>
    <s v="East"/>
    <s v="Mobile"/>
    <n v="5"/>
    <n v="907.75"/>
    <n v="4538.75"/>
    <n v="10.87"/>
    <d v="2024-05-29T00:00:00"/>
    <x v="17"/>
  </r>
  <r>
    <s v="CUST1079"/>
    <s v="Leslie Alvarado"/>
    <s v="Male"/>
    <n v="38"/>
    <s v="Lake Roymouth"/>
    <s v="South"/>
    <s v="Headphones"/>
    <n v="9"/>
    <n v="207.13"/>
    <n v="1864.17"/>
    <n v="27.76"/>
    <d v="2024-09-27T00:00:00"/>
    <x v="7"/>
  </r>
  <r>
    <s v="CUST1080"/>
    <s v="James Lewis"/>
    <s v="Female"/>
    <n v="63"/>
    <s v="Matthewfurt"/>
    <s v="East"/>
    <s v="Smartwatch"/>
    <n v="4"/>
    <n v="175.25"/>
    <n v="701"/>
    <n v="18.64"/>
    <d v="2024-12-11T00:00:00"/>
    <x v="2"/>
  </r>
  <r>
    <s v="CUST1081"/>
    <s v="Sandra King"/>
    <s v="Female"/>
    <n v="21"/>
    <s v="South Andrewside"/>
    <s v="North"/>
    <s v="Smartwatch"/>
    <n v="4"/>
    <n v="1674.14"/>
    <n v="6696.56"/>
    <n v="15.22"/>
    <d v="2024-06-18T00:00:00"/>
    <x v="24"/>
  </r>
  <r>
    <s v="CUST1082"/>
    <s v="Mrs. Marie Harrington DDS"/>
    <s v="Female"/>
    <n v="18"/>
    <s v="East Jamestown"/>
    <s v="West"/>
    <s v="Smartwatch"/>
    <n v="6"/>
    <n v="632.29"/>
    <n v="3793.74"/>
    <n v="29.9"/>
    <d v="2025-09-03T00:00:00"/>
    <x v="16"/>
  </r>
  <r>
    <s v="CUST1083"/>
    <s v="Cameron Caldwell"/>
    <s v="Female"/>
    <n v="52"/>
    <s v="South Holly"/>
    <s v="South"/>
    <s v="Tablet"/>
    <n v="10"/>
    <n v="1800.73"/>
    <n v="18007.3"/>
    <n v="17.43"/>
    <d v="2025-12-25T00:00:00"/>
    <x v="8"/>
  </r>
  <r>
    <s v="CUST1084"/>
    <s v="Larry Stuart"/>
    <s v="Other"/>
    <n v="19"/>
    <s v="Port Loriport"/>
    <s v="West"/>
    <s v="Camera"/>
    <n v="7"/>
    <n v="705.45"/>
    <n v="4938.1499999999996"/>
    <n v="6.6"/>
    <d v="2024-07-31T00:00:00"/>
    <x v="14"/>
  </r>
  <r>
    <s v="CUST1085"/>
    <s v="Tanya Johnston"/>
    <s v="Other"/>
    <n v="47"/>
    <s v="Sandersborough"/>
    <s v="North"/>
    <s v="Headphones"/>
    <n v="3"/>
    <n v="1962.41"/>
    <n v="5887.23"/>
    <n v="23.68"/>
    <d v="2024-07-07T00:00:00"/>
    <x v="14"/>
  </r>
  <r>
    <s v="CUST1086"/>
    <s v="Sandra Sanchez"/>
    <s v="Female"/>
    <n v="60"/>
    <s v="Melissaville"/>
    <s v="South"/>
    <s v="Headphones"/>
    <n v="1"/>
    <n v="213.7"/>
    <n v="213.7"/>
    <n v="7.27"/>
    <d v="2026-01-17T00:00:00"/>
    <x v="4"/>
  </r>
  <r>
    <s v="CUST1087"/>
    <s v="Dr. Hannah Patterson"/>
    <s v="Female"/>
    <n v="34"/>
    <s v="Caseymouth"/>
    <s v="East"/>
    <s v="Tablet"/>
    <n v="7"/>
    <n v="688.34"/>
    <n v="4818.38"/>
    <n v="30.45"/>
    <d v="2024-05-18T00:00:00"/>
    <x v="17"/>
  </r>
  <r>
    <s v="CUST1088"/>
    <s v="Samantha Garcia"/>
    <s v="Female"/>
    <n v="42"/>
    <s v="Cynthiamouth"/>
    <s v="East"/>
    <s v="Laptop"/>
    <n v="5"/>
    <n v="1516.42"/>
    <n v="7582.1"/>
    <n v="18.809999999999999"/>
    <d v="2025-11-09T00:00:00"/>
    <x v="6"/>
  </r>
  <r>
    <s v="CUST1089"/>
    <s v="Christopher Boyd"/>
    <s v="Female"/>
    <n v="65"/>
    <s v="Christinaside"/>
    <s v="South"/>
    <s v="Camera"/>
    <n v="9"/>
    <n v="151.57"/>
    <n v="1364.13"/>
    <n v="2.74"/>
    <d v="2025-12-31T00:00:00"/>
    <x v="8"/>
  </r>
  <r>
    <s v="CUST1090"/>
    <s v="Mr. Nicholas Adams"/>
    <s v="Male"/>
    <n v="59"/>
    <s v="Port Sarah"/>
    <s v="South"/>
    <s v="Laptop"/>
    <n v="1"/>
    <n v="1520.75"/>
    <n v="1520.75"/>
    <n v="24.85"/>
    <d v="2024-12-11T00:00:00"/>
    <x v="2"/>
  </r>
  <r>
    <s v="CUST1091"/>
    <s v="Dana Marshall"/>
    <s v="Male"/>
    <n v="33"/>
    <s v="Rogersfort"/>
    <s v="South"/>
    <s v="Headphones"/>
    <n v="3"/>
    <n v="973.44"/>
    <n v="2920.32"/>
    <n v="27.98"/>
    <d v="2026-02-28T00:00:00"/>
    <x v="5"/>
  </r>
  <r>
    <s v="CUST1092"/>
    <s v="John Kelly"/>
    <s v="Other"/>
    <n v="67"/>
    <s v="Matthewview"/>
    <s v="North"/>
    <s v="Mobile"/>
    <n v="6"/>
    <n v="377.19"/>
    <n v="2263.14"/>
    <n v="38.590000000000003"/>
    <d v="2025-07-14T00:00:00"/>
    <x v="20"/>
  </r>
  <r>
    <s v="CUST1093"/>
    <s v="Travis Miller"/>
    <s v="Female"/>
    <n v="24"/>
    <s v="Freemanbury"/>
    <s v="West"/>
    <s v="Headphones"/>
    <n v="10"/>
    <n v="100.07"/>
    <n v="1000.7"/>
    <n v="37.659999999999997"/>
    <d v="2025-10-27T00:00:00"/>
    <x v="0"/>
  </r>
  <r>
    <s v="CUST1094"/>
    <s v="Michael West"/>
    <s v="Other"/>
    <n v="30"/>
    <s v="North Kellyfurt"/>
    <s v="South"/>
    <s v="Laptop"/>
    <n v="2"/>
    <n v="1204.5899999999999"/>
    <n v="2409.1799999999998"/>
    <n v="27.89"/>
    <d v="2025-10-28T00:00:00"/>
    <x v="0"/>
  </r>
  <r>
    <s v="CUST1095"/>
    <s v="Matthew Wood"/>
    <s v="Other"/>
    <n v="37"/>
    <s v="Ronaldside"/>
    <s v="North"/>
    <s v="Tablet"/>
    <n v="10"/>
    <n v="1620.78"/>
    <n v="16207.8"/>
    <n v="21.31"/>
    <d v="2025-01-20T00:00:00"/>
    <x v="23"/>
  </r>
  <r>
    <s v="CUST1096"/>
    <s v="Jesse Parker"/>
    <s v="Other"/>
    <n v="60"/>
    <s v="North Jennifer"/>
    <s v="East"/>
    <s v="Laptop"/>
    <n v="6"/>
    <n v="184.47"/>
    <n v="1106.82"/>
    <n v="33.979999999999997"/>
    <d v="2025-01-09T00:00:00"/>
    <x v="23"/>
  </r>
  <r>
    <s v="CUST1097"/>
    <s v="Joshua Gill"/>
    <s v="Female"/>
    <n v="70"/>
    <s v="East Javier"/>
    <s v="West"/>
    <s v="Camera"/>
    <n v="8"/>
    <n v="255.8"/>
    <n v="2046.4"/>
    <n v="6.12"/>
    <d v="2025-05-20T00:00:00"/>
    <x v="15"/>
  </r>
  <r>
    <s v="CUST1098"/>
    <s v="Kevin Wolf"/>
    <s v="Female"/>
    <n v="29"/>
    <s v="Tinaborough"/>
    <s v="West"/>
    <s v="Headphones"/>
    <n v="9"/>
    <n v="1932.67"/>
    <n v="17394.03"/>
    <n v="17.420000000000002"/>
    <d v="2024-12-25T00:00:00"/>
    <x v="2"/>
  </r>
  <r>
    <s v="CUST1099"/>
    <s v="Christopher Smith"/>
    <s v="Male"/>
    <n v="64"/>
    <s v="West Brandon"/>
    <s v="North"/>
    <s v="Tablet"/>
    <n v="10"/>
    <n v="573.37"/>
    <n v="5733.7"/>
    <n v="35.270000000000003"/>
    <d v="2024-06-20T00:00:00"/>
    <x v="24"/>
  </r>
  <r>
    <s v="CUST1100"/>
    <s v="Melissa Martinez"/>
    <s v="Other"/>
    <n v="33"/>
    <s v="Garciatown"/>
    <s v="West"/>
    <s v="Tablet"/>
    <n v="8"/>
    <n v="1161.21"/>
    <n v="9289.68"/>
    <n v="1.1499999999999999"/>
    <d v="2025-07-28T00:00:00"/>
    <x v="20"/>
  </r>
  <r>
    <s v="CUST1101"/>
    <s v="John Peterson"/>
    <s v="Female"/>
    <n v="38"/>
    <s v="West Shelleyfort"/>
    <s v="East"/>
    <s v="Tablet"/>
    <n v="3"/>
    <n v="1000.72"/>
    <n v="3002.16"/>
    <n v="11.19"/>
    <d v="2024-08-05T00:00:00"/>
    <x v="12"/>
  </r>
  <r>
    <s v="CUST1102"/>
    <s v="Jennifer Jones"/>
    <s v="Other"/>
    <n v="56"/>
    <s v="East Edwardshire"/>
    <s v="South"/>
    <s v="Laptop"/>
    <n v="5"/>
    <n v="1133.79"/>
    <n v="5668.95"/>
    <n v="9.65"/>
    <d v="2024-12-30T00:00:00"/>
    <x v="2"/>
  </r>
  <r>
    <s v="CUST1103"/>
    <s v="David Grant"/>
    <s v="Male"/>
    <n v="44"/>
    <s v="Obrienbury"/>
    <s v="West"/>
    <s v="Camera"/>
    <n v="8"/>
    <n v="1132.5899999999999"/>
    <n v="9060.7199999999993"/>
    <n v="28.47"/>
    <d v="2026-01-01T00:00:00"/>
    <x v="4"/>
  </r>
  <r>
    <s v="CUST1104"/>
    <s v="Joanna Ramos"/>
    <s v="Male"/>
    <n v="46"/>
    <s v="Torreston"/>
    <s v="West"/>
    <s v="Camera"/>
    <n v="1"/>
    <n v="231.45"/>
    <n v="231.45"/>
    <n v="9.73"/>
    <d v="2025-08-25T00:00:00"/>
    <x v="11"/>
  </r>
  <r>
    <s v="CUST1105"/>
    <s v="Annette Farmer"/>
    <s v="Other"/>
    <n v="60"/>
    <s v="West Donna"/>
    <s v="East"/>
    <s v="Headphones"/>
    <n v="10"/>
    <n v="769.59"/>
    <n v="7695.9"/>
    <n v="39.869999999999997"/>
    <d v="2024-09-07T00:00:00"/>
    <x v="7"/>
  </r>
  <r>
    <s v="CUST1106"/>
    <s v="Juan Moore"/>
    <s v="Female"/>
    <n v="53"/>
    <s v="Hayesfort"/>
    <s v="East"/>
    <s v="Tablet"/>
    <n v="6"/>
    <n v="736.03"/>
    <n v="4416.18"/>
    <n v="10.06"/>
    <d v="2024-12-21T00:00:00"/>
    <x v="2"/>
  </r>
  <r>
    <s v="CUST1107"/>
    <s v="Dwayne Campbell"/>
    <s v="Other"/>
    <n v="25"/>
    <s v="Jonesbury"/>
    <s v="South"/>
    <s v="Mobile"/>
    <n v="4"/>
    <n v="665.32"/>
    <n v="2661.28"/>
    <n v="8.66"/>
    <d v="2026-04-26T00:00:00"/>
    <x v="19"/>
  </r>
  <r>
    <s v="CUST1108"/>
    <s v="Rick Lawrence"/>
    <s v="Other"/>
    <n v="48"/>
    <s v="South Danny"/>
    <s v="East"/>
    <s v="Laptop"/>
    <n v="5"/>
    <n v="1462.94"/>
    <n v="7314.7"/>
    <n v="33.31"/>
    <d v="2024-10-30T00:00:00"/>
    <x v="3"/>
  </r>
  <r>
    <s v="CUST1109"/>
    <s v="Susan Serrano"/>
    <s v="Female"/>
    <n v="36"/>
    <s v="North Gabrielport"/>
    <s v="North"/>
    <s v="Camera"/>
    <n v="4"/>
    <n v="753.72"/>
    <n v="3014.88"/>
    <n v="21.37"/>
    <d v="2025-08-14T00:00:00"/>
    <x v="11"/>
  </r>
  <r>
    <s v="CUST1110"/>
    <s v="Laura Roberts"/>
    <s v="Other"/>
    <n v="35"/>
    <s v="South Haleyfurt"/>
    <s v="East"/>
    <s v="Camera"/>
    <n v="1"/>
    <n v="1949.88"/>
    <n v="1949.88"/>
    <n v="37.76"/>
    <d v="2024-12-06T00:00:00"/>
    <x v="2"/>
  </r>
  <r>
    <s v="CUST1111"/>
    <s v="Katherine Miller"/>
    <s v="Male"/>
    <n v="58"/>
    <s v="South Jessicaview"/>
    <s v="East"/>
    <s v="Headphones"/>
    <n v="8"/>
    <n v="250.05"/>
    <n v="2000.4"/>
    <n v="19.149999999999999"/>
    <d v="2024-05-29T00:00:00"/>
    <x v="17"/>
  </r>
  <r>
    <s v="CUST1112"/>
    <s v="Vernon Huff"/>
    <s v="Female"/>
    <n v="39"/>
    <s v="Port Emilyview"/>
    <s v="West"/>
    <s v="Laptop"/>
    <n v="3"/>
    <n v="1932.72"/>
    <n v="5798.16"/>
    <n v="32.880000000000003"/>
    <d v="2025-07-30T00:00:00"/>
    <x v="20"/>
  </r>
  <r>
    <s v="CUST1113"/>
    <s v="Peter Ruiz"/>
    <s v="Other"/>
    <n v="43"/>
    <s v="Moonburgh"/>
    <s v="North"/>
    <s v="Mobile"/>
    <n v="8"/>
    <n v="194.46"/>
    <n v="1555.68"/>
    <n v="5.97"/>
    <d v="2025-08-06T00:00:00"/>
    <x v="11"/>
  </r>
  <r>
    <s v="CUST1114"/>
    <s v="Robert Costa"/>
    <s v="Male"/>
    <n v="54"/>
    <s v="Baileymouth"/>
    <s v="North"/>
    <s v="Smartwatch"/>
    <n v="5"/>
    <n v="216.1"/>
    <n v="1080.5"/>
    <n v="30.58"/>
    <d v="2025-01-13T00:00:00"/>
    <x v="23"/>
  </r>
  <r>
    <s v="CUST1115"/>
    <s v="Shannon Rivera"/>
    <s v="Male"/>
    <n v="56"/>
    <s v="Robertsfurt"/>
    <s v="West"/>
    <s v="Headphones"/>
    <n v="10"/>
    <n v="1591.94"/>
    <n v="15919.4"/>
    <n v="36.340000000000003"/>
    <d v="2026-01-30T00:00:00"/>
    <x v="4"/>
  </r>
  <r>
    <s v="CUST1116"/>
    <s v="Amanda Miller"/>
    <s v="Female"/>
    <n v="37"/>
    <s v="Marcusfurt"/>
    <s v="North"/>
    <s v="Smartwatch"/>
    <n v="10"/>
    <n v="1980.56"/>
    <n v="19805.599999999999"/>
    <n v="38.4"/>
    <d v="2026-03-11T00:00:00"/>
    <x v="9"/>
  </r>
  <r>
    <s v="CUST1117"/>
    <s v="Virginia Sandoval"/>
    <s v="Female"/>
    <n v="24"/>
    <s v="Gutierrezborough"/>
    <s v="North"/>
    <s v="Mobile"/>
    <n v="4"/>
    <n v="1269.75"/>
    <n v="5079"/>
    <n v="9.59"/>
    <d v="2025-06-15T00:00:00"/>
    <x v="1"/>
  </r>
  <r>
    <s v="CUST1118"/>
    <s v="Peter Garrett"/>
    <s v="Female"/>
    <n v="53"/>
    <s v="East Josephberg"/>
    <s v="West"/>
    <s v="Camera"/>
    <n v="2"/>
    <n v="355.24"/>
    <n v="710.48"/>
    <n v="23.75"/>
    <d v="2026-04-29T00:00:00"/>
    <x v="19"/>
  </r>
  <r>
    <s v="CUST1119"/>
    <s v="Stanley Washington"/>
    <s v="Other"/>
    <n v="36"/>
    <s v="Lake Chelseabury"/>
    <s v="East"/>
    <s v="Camera"/>
    <n v="1"/>
    <n v="501.38"/>
    <n v="501.38"/>
    <n v="34.380000000000003"/>
    <d v="2025-11-11T00:00:00"/>
    <x v="6"/>
  </r>
  <r>
    <s v="CUST1120"/>
    <s v="Juan Tran"/>
    <s v="Other"/>
    <n v="22"/>
    <s v="East Victoriaville"/>
    <s v="South"/>
    <s v="Headphones"/>
    <n v="4"/>
    <n v="1851.63"/>
    <n v="7406.52"/>
    <n v="4.59"/>
    <d v="2025-05-02T00:00:00"/>
    <x v="15"/>
  </r>
  <r>
    <s v="CUST1121"/>
    <s v="Maria Moore"/>
    <s v="Male"/>
    <n v="32"/>
    <s v="Williamview"/>
    <s v="North"/>
    <s v="Laptop"/>
    <n v="3"/>
    <n v="1821.4"/>
    <n v="5464.2"/>
    <n v="6.64"/>
    <d v="2025-03-27T00:00:00"/>
    <x v="22"/>
  </r>
  <r>
    <s v="CUST1122"/>
    <s v="Veronica Sanchez"/>
    <s v="Other"/>
    <n v="37"/>
    <s v="South James"/>
    <s v="East"/>
    <s v="Headphones"/>
    <n v="10"/>
    <n v="1510.47"/>
    <n v="15104.7"/>
    <n v="4.97"/>
    <d v="2025-08-17T00:00:00"/>
    <x v="11"/>
  </r>
  <r>
    <s v="CUST1123"/>
    <s v="Sherry Shields"/>
    <s v="Female"/>
    <n v="62"/>
    <s v="Kendrachester"/>
    <s v="West"/>
    <s v="Headphones"/>
    <n v="5"/>
    <n v="1414.48"/>
    <n v="7072.4"/>
    <n v="3.22"/>
    <d v="2025-01-27T00:00:00"/>
    <x v="23"/>
  </r>
  <r>
    <s v="CUST1124"/>
    <s v="Katie Hoover"/>
    <s v="Other"/>
    <n v="20"/>
    <s v="Jessicashire"/>
    <s v="East"/>
    <s v="Laptop"/>
    <n v="7"/>
    <n v="1482.34"/>
    <n v="10376.379999999999"/>
    <n v="3.65"/>
    <d v="2025-08-02T00:00:00"/>
    <x v="11"/>
  </r>
  <r>
    <s v="CUST1125"/>
    <s v="Mrs. Brittany Ryan MD"/>
    <s v="Male"/>
    <n v="61"/>
    <s v="Gibsonmouth"/>
    <s v="East"/>
    <s v="Smartwatch"/>
    <n v="10"/>
    <n v="1194.8900000000001"/>
    <n v="11948.9"/>
    <n v="1.61"/>
    <d v="2026-03-15T00:00:00"/>
    <x v="9"/>
  </r>
  <r>
    <s v="CUST1126"/>
    <s v="Michael Armstrong"/>
    <s v="Other"/>
    <n v="66"/>
    <s v="Port Kimberly"/>
    <s v="West"/>
    <s v="Tablet"/>
    <n v="3"/>
    <n v="967.48"/>
    <n v="2902.44"/>
    <n v="7.26"/>
    <d v="2024-06-11T00:00:00"/>
    <x v="24"/>
  </r>
  <r>
    <s v="CUST1127"/>
    <s v="John Mcintyre"/>
    <s v="Female"/>
    <n v="55"/>
    <s v="Hughesberg"/>
    <s v="North"/>
    <s v="Headphones"/>
    <n v="7"/>
    <n v="1287.83"/>
    <n v="9014.81"/>
    <n v="13.92"/>
    <d v="2025-05-28T00:00:00"/>
    <x v="15"/>
  </r>
  <r>
    <s v="CUST1128"/>
    <s v="Beth Sanford"/>
    <s v="Male"/>
    <n v="39"/>
    <s v="Mollymouth"/>
    <s v="East"/>
    <s v="Headphones"/>
    <n v="6"/>
    <n v="1356.76"/>
    <n v="8140.56"/>
    <n v="27.75"/>
    <d v="2024-07-25T00:00:00"/>
    <x v="14"/>
  </r>
  <r>
    <s v="CUST1129"/>
    <s v="Joyce Bowen"/>
    <s v="Other"/>
    <n v="36"/>
    <s v="Pittsberg"/>
    <s v="North"/>
    <s v="Headphones"/>
    <n v="7"/>
    <n v="1636.45"/>
    <n v="11455.15"/>
    <n v="3.52"/>
    <d v="2024-07-06T00:00:00"/>
    <x v="14"/>
  </r>
  <r>
    <s v="CUST1130"/>
    <s v="Wayne Morgan"/>
    <s v="Female"/>
    <n v="34"/>
    <s v="Santosmouth"/>
    <s v="North"/>
    <s v="Camera"/>
    <n v="6"/>
    <n v="276.05"/>
    <n v="1656.3"/>
    <n v="34.770000000000003"/>
    <d v="2026-03-02T00:00:00"/>
    <x v="9"/>
  </r>
  <r>
    <s v="CUST1131"/>
    <s v="Kimberly Finley"/>
    <s v="Other"/>
    <n v="47"/>
    <s v="Brennanton"/>
    <s v="East"/>
    <s v="Smartwatch"/>
    <n v="7"/>
    <n v="155.69999999999999"/>
    <n v="1089.9000000000001"/>
    <n v="30.26"/>
    <d v="2025-08-31T00:00:00"/>
    <x v="11"/>
  </r>
  <r>
    <s v="CUST1132"/>
    <s v="Mark Mccall"/>
    <s v="Male"/>
    <n v="58"/>
    <s v="Lake Christopher"/>
    <s v="East"/>
    <s v="Smartwatch"/>
    <n v="8"/>
    <n v="1531.98"/>
    <n v="12255.84"/>
    <n v="5.24"/>
    <d v="2024-07-24T00:00:00"/>
    <x v="14"/>
  </r>
  <r>
    <s v="CUST1133"/>
    <s v="Michele Garcia"/>
    <s v="Female"/>
    <n v="36"/>
    <s v="Lake Kevin"/>
    <s v="North"/>
    <s v="Laptop"/>
    <n v="8"/>
    <n v="1767.65"/>
    <n v="14141.2"/>
    <n v="38.93"/>
    <d v="2024-05-31T00:00:00"/>
    <x v="17"/>
  </r>
  <r>
    <s v="CUST1134"/>
    <s v="Robert Carter"/>
    <s v="Female"/>
    <n v="56"/>
    <s v="Ryanbury"/>
    <s v="North"/>
    <s v="Smartwatch"/>
    <n v="4"/>
    <n v="1434.08"/>
    <n v="5736.32"/>
    <n v="16.32"/>
    <d v="2025-06-25T00:00:00"/>
    <x v="1"/>
  </r>
  <r>
    <s v="CUST1135"/>
    <s v="Michael White"/>
    <s v="Male"/>
    <n v="32"/>
    <s v="North Chelsea"/>
    <s v="South"/>
    <s v="Headphones"/>
    <n v="2"/>
    <n v="949.82"/>
    <n v="1899.64"/>
    <n v="37.31"/>
    <d v="2025-03-02T00:00:00"/>
    <x v="22"/>
  </r>
  <r>
    <s v="CUST1136"/>
    <s v="Cynthia Durham"/>
    <s v="Female"/>
    <n v="36"/>
    <s v="East Steven"/>
    <s v="West"/>
    <s v="Headphones"/>
    <n v="9"/>
    <n v="1425.55"/>
    <n v="12829.95"/>
    <n v="9.75"/>
    <d v="2024-11-22T00:00:00"/>
    <x v="10"/>
  </r>
  <r>
    <s v="CUST1137"/>
    <s v="Michael Nolan"/>
    <s v="Other"/>
    <n v="53"/>
    <s v="Santanaside"/>
    <s v="South"/>
    <s v="Laptop"/>
    <n v="3"/>
    <n v="797.99"/>
    <n v="2393.9699999999998"/>
    <n v="11.05"/>
    <d v="2024-09-08T00:00:00"/>
    <x v="7"/>
  </r>
  <r>
    <s v="CUST1138"/>
    <s v="Tony Huerta"/>
    <s v="Other"/>
    <n v="68"/>
    <s v="Daniellechester"/>
    <s v="East"/>
    <s v="Laptop"/>
    <n v="7"/>
    <n v="712.76"/>
    <n v="4989.32"/>
    <n v="11.31"/>
    <d v="2025-10-27T00:00:00"/>
    <x v="0"/>
  </r>
  <r>
    <s v="CUST1139"/>
    <s v="Ryan Gonzalez"/>
    <s v="Other"/>
    <n v="37"/>
    <s v="Castanedaville"/>
    <s v="West"/>
    <s v="Mobile"/>
    <n v="10"/>
    <n v="1180.8499999999999"/>
    <n v="11808.5"/>
    <n v="17.86"/>
    <d v="2024-11-09T00:00:00"/>
    <x v="10"/>
  </r>
  <r>
    <s v="CUST1140"/>
    <s v="Ian Phillips"/>
    <s v="Other"/>
    <n v="48"/>
    <s v="Andrewfurt"/>
    <s v="West"/>
    <s v="Headphones"/>
    <n v="6"/>
    <n v="698.26"/>
    <n v="4189.5600000000004"/>
    <n v="37.31"/>
    <d v="2024-12-08T00:00:00"/>
    <x v="2"/>
  </r>
  <r>
    <s v="CUST1141"/>
    <s v="Sean Osborne"/>
    <s v="Male"/>
    <n v="30"/>
    <s v="New Julieport"/>
    <s v="West"/>
    <s v="Laptop"/>
    <n v="4"/>
    <n v="1165.01"/>
    <n v="4660.04"/>
    <n v="12.73"/>
    <d v="2026-01-01T00:00:00"/>
    <x v="4"/>
  </r>
  <r>
    <s v="CUST1142"/>
    <s v="Lisa Gomez"/>
    <s v="Other"/>
    <n v="48"/>
    <s v="New John"/>
    <s v="South"/>
    <s v="Headphones"/>
    <n v="7"/>
    <n v="802.85"/>
    <n v="5619.95"/>
    <n v="38.590000000000003"/>
    <d v="2025-12-16T00:00:00"/>
    <x v="8"/>
  </r>
  <r>
    <s v="CUST1143"/>
    <s v="Mary Massey"/>
    <s v="Female"/>
    <n v="26"/>
    <s v="Lake Debbieport"/>
    <s v="North"/>
    <s v="Headphones"/>
    <n v="9"/>
    <n v="1932.44"/>
    <n v="17391.96"/>
    <n v="3.99"/>
    <d v="2026-01-11T00:00:00"/>
    <x v="4"/>
  </r>
  <r>
    <s v="CUST1144"/>
    <s v="Kevin Oconnor"/>
    <s v="Female"/>
    <n v="47"/>
    <s v="West Markchester"/>
    <s v="South"/>
    <s v="Laptop"/>
    <n v="1"/>
    <n v="1458.77"/>
    <n v="1458.77"/>
    <n v="18.78"/>
    <d v="2024-09-22T00:00:00"/>
    <x v="7"/>
  </r>
  <r>
    <s v="CUST1145"/>
    <s v="Richard Walter"/>
    <s v="Female"/>
    <n v="34"/>
    <s v="Alyssaview"/>
    <s v="North"/>
    <s v="Tablet"/>
    <n v="6"/>
    <n v="1265.3599999999999"/>
    <n v="7592.16"/>
    <n v="34.090000000000003"/>
    <d v="2026-02-13T00:00:00"/>
    <x v="5"/>
  </r>
  <r>
    <s v="CUST1146"/>
    <s v="Thomas Raymond"/>
    <s v="Other"/>
    <n v="52"/>
    <s v="Juliemouth"/>
    <s v="West"/>
    <s v="Smartwatch"/>
    <n v="7"/>
    <n v="1910.57"/>
    <n v="13373.99"/>
    <n v="1.44"/>
    <d v="2026-01-23T00:00:00"/>
    <x v="4"/>
  </r>
  <r>
    <s v="CUST1147"/>
    <s v="Victor Taylor"/>
    <s v="Female"/>
    <n v="22"/>
    <s v="Port Erica"/>
    <s v="South"/>
    <s v="Camera"/>
    <n v="4"/>
    <n v="1280.76"/>
    <n v="5123.04"/>
    <n v="3.62"/>
    <d v="2025-10-14T00:00:00"/>
    <x v="0"/>
  </r>
  <r>
    <s v="CUST1148"/>
    <s v="Tracy Ballard"/>
    <s v="Other"/>
    <n v="24"/>
    <s v="Christopherfurt"/>
    <s v="East"/>
    <s v="Laptop"/>
    <n v="2"/>
    <n v="915.17"/>
    <n v="1830.34"/>
    <n v="1.84"/>
    <d v="2024-05-19T00:00:00"/>
    <x v="17"/>
  </r>
  <r>
    <s v="CUST1149"/>
    <s v="Caleb Richardson"/>
    <s v="Female"/>
    <n v="68"/>
    <s v="Brendastad"/>
    <s v="West"/>
    <s v="Mobile"/>
    <n v="1"/>
    <n v="622.07000000000005"/>
    <n v="622.07000000000005"/>
    <n v="9.77"/>
    <d v="2024-08-01T00:00:00"/>
    <x v="12"/>
  </r>
  <r>
    <s v="CUST1150"/>
    <s v="Kaitlyn Harvey"/>
    <s v="Male"/>
    <n v="44"/>
    <s v="Rosebury"/>
    <s v="South"/>
    <s v="Mobile"/>
    <n v="10"/>
    <n v="1379.51"/>
    <n v="13795.1"/>
    <n v="3.16"/>
    <d v="2025-09-24T00:00:00"/>
    <x v="16"/>
  </r>
  <r>
    <s v="CUST1151"/>
    <s v="Rodney Blankenship"/>
    <s v="Female"/>
    <n v="42"/>
    <s v="Debraville"/>
    <s v="South"/>
    <s v="Mobile"/>
    <n v="10"/>
    <n v="1382.11"/>
    <n v="13821.1"/>
    <n v="18.45"/>
    <d v="2024-08-25T00:00:00"/>
    <x v="12"/>
  </r>
  <r>
    <s v="CUST1152"/>
    <s v="Andrew Ferrell"/>
    <s v="Male"/>
    <n v="34"/>
    <s v="North Jimmyside"/>
    <s v="West"/>
    <s v="Tablet"/>
    <n v="8"/>
    <n v="547.89"/>
    <n v="4383.12"/>
    <n v="27.1"/>
    <d v="2024-08-22T00:00:00"/>
    <x v="12"/>
  </r>
  <r>
    <s v="CUST1153"/>
    <s v="Jacob Avery"/>
    <s v="Female"/>
    <n v="28"/>
    <s v="Matthewsberg"/>
    <s v="East"/>
    <s v="Camera"/>
    <n v="2"/>
    <n v="911.37"/>
    <n v="1822.74"/>
    <n v="38.479999999999997"/>
    <d v="2026-03-27T00:00:00"/>
    <x v="9"/>
  </r>
  <r>
    <s v="CUST1154"/>
    <s v="Brett Burns"/>
    <s v="Female"/>
    <n v="62"/>
    <s v="Crosbyview"/>
    <s v="South"/>
    <s v="Headphones"/>
    <n v="5"/>
    <n v="940.83"/>
    <n v="4704.1499999999996"/>
    <n v="34.130000000000003"/>
    <d v="2024-06-03T00:00:00"/>
    <x v="24"/>
  </r>
  <r>
    <s v="CUST1155"/>
    <s v="Claudia Wallace"/>
    <s v="Female"/>
    <n v="24"/>
    <s v="Port Michael"/>
    <s v="East"/>
    <s v="Camera"/>
    <n v="4"/>
    <n v="793.66"/>
    <n v="3174.64"/>
    <n v="11.81"/>
    <d v="2025-10-23T00:00:00"/>
    <x v="0"/>
  </r>
  <r>
    <s v="CUST1156"/>
    <s v="Steven Newman"/>
    <s v="Other"/>
    <n v="60"/>
    <s v="South Joshuaville"/>
    <s v="North"/>
    <s v="Smartwatch"/>
    <n v="7"/>
    <n v="585.24"/>
    <n v="4096.68"/>
    <n v="29.81"/>
    <d v="2026-02-26T00:00:00"/>
    <x v="5"/>
  </r>
  <r>
    <s v="CUST1157"/>
    <s v="Anna Lewis"/>
    <s v="Female"/>
    <n v="36"/>
    <s v="North Kristinbury"/>
    <s v="South"/>
    <s v="Camera"/>
    <n v="4"/>
    <n v="1233.78"/>
    <n v="4935.12"/>
    <n v="7.61"/>
    <d v="2024-08-14T00:00:00"/>
    <x v="12"/>
  </r>
  <r>
    <s v="CUST1158"/>
    <s v="Christine Gallegos"/>
    <s v="Other"/>
    <n v="34"/>
    <s v="New Jason"/>
    <s v="North"/>
    <s v="Tablet"/>
    <n v="3"/>
    <n v="1275.08"/>
    <n v="3825.24"/>
    <n v="31.54"/>
    <d v="2026-03-15T00:00:00"/>
    <x v="9"/>
  </r>
  <r>
    <s v="CUST1159"/>
    <s v="Raymond Kramer"/>
    <s v="Male"/>
    <n v="20"/>
    <s v="West Micheleberg"/>
    <s v="North"/>
    <s v="Tablet"/>
    <n v="10"/>
    <n v="761.48"/>
    <n v="7614.8"/>
    <n v="13.07"/>
    <d v="2024-08-17T00:00:00"/>
    <x v="12"/>
  </r>
  <r>
    <s v="CUST1160"/>
    <s v="Rebecca Rodriguez"/>
    <s v="Other"/>
    <n v="44"/>
    <s v="East Alexisbury"/>
    <s v="East"/>
    <s v="Smartwatch"/>
    <n v="3"/>
    <n v="441.55"/>
    <n v="1324.65"/>
    <n v="20.07"/>
    <d v="2025-08-09T00:00:00"/>
    <x v="11"/>
  </r>
  <r>
    <s v="CUST1161"/>
    <s v="Christopher Williams"/>
    <s v="Female"/>
    <n v="35"/>
    <s v="Foxland"/>
    <s v="East"/>
    <s v="Camera"/>
    <n v="3"/>
    <n v="551.09"/>
    <n v="1653.27"/>
    <n v="34.82"/>
    <d v="2025-05-13T00:00:00"/>
    <x v="15"/>
  </r>
  <r>
    <s v="CUST1162"/>
    <s v="Ivan Wheeler"/>
    <s v="Male"/>
    <n v="69"/>
    <s v="Gordonton"/>
    <s v="South"/>
    <s v="Mobile"/>
    <n v="2"/>
    <n v="963.25"/>
    <n v="1926.5"/>
    <n v="34.409999999999997"/>
    <d v="2025-11-24T00:00:00"/>
    <x v="6"/>
  </r>
  <r>
    <s v="CUST1163"/>
    <s v="Sharon Boyd"/>
    <s v="Other"/>
    <n v="64"/>
    <s v="Schneidertown"/>
    <s v="East"/>
    <s v="Laptop"/>
    <n v="7"/>
    <n v="1936.18"/>
    <n v="13553.26"/>
    <n v="31.63"/>
    <d v="2024-06-25T00:00:00"/>
    <x v="24"/>
  </r>
  <r>
    <s v="CUST1164"/>
    <s v="Dr. Jessica Rodriguez DDS"/>
    <s v="Female"/>
    <n v="18"/>
    <s v="Jonesland"/>
    <s v="East"/>
    <s v="Camera"/>
    <n v="5"/>
    <n v="1096.32"/>
    <n v="5481.6"/>
    <n v="29.96"/>
    <d v="2025-01-14T00:00:00"/>
    <x v="23"/>
  </r>
  <r>
    <s v="CUST1165"/>
    <s v="Ana Hill"/>
    <s v="Other"/>
    <n v="34"/>
    <s v="Oscarhaven"/>
    <s v="East"/>
    <s v="Laptop"/>
    <n v="10"/>
    <n v="793"/>
    <n v="7930"/>
    <n v="26.99"/>
    <d v="2024-12-24T00:00:00"/>
    <x v="2"/>
  </r>
  <r>
    <s v="CUST1166"/>
    <s v="Larry Garcia"/>
    <s v="Other"/>
    <n v="48"/>
    <s v="Port Dianaside"/>
    <s v="East"/>
    <s v="Smartwatch"/>
    <n v="1"/>
    <n v="1258.1199999999999"/>
    <n v="1258.1199999999999"/>
    <n v="8.85"/>
    <d v="2025-11-19T00:00:00"/>
    <x v="6"/>
  </r>
  <r>
    <s v="CUST1167"/>
    <s v="Jessica Beasley"/>
    <s v="Female"/>
    <n v="22"/>
    <s v="Morganmouth"/>
    <s v="West"/>
    <s v="Laptop"/>
    <n v="8"/>
    <n v="1823.31"/>
    <n v="14586.48"/>
    <n v="5.59"/>
    <d v="2025-03-14T00:00:00"/>
    <x v="22"/>
  </r>
  <r>
    <s v="CUST1168"/>
    <s v="Brandon Simmons"/>
    <s v="Male"/>
    <n v="20"/>
    <s v="Nicholasberg"/>
    <s v="North"/>
    <s v="Mobile"/>
    <n v="5"/>
    <n v="1992.06"/>
    <n v="9960.2999999999993"/>
    <n v="35.49"/>
    <d v="2025-10-24T00:00:00"/>
    <x v="0"/>
  </r>
  <r>
    <s v="CUST1169"/>
    <s v="Andrea Decker"/>
    <s v="Other"/>
    <n v="26"/>
    <s v="South Colinstad"/>
    <s v="West"/>
    <s v="Smartwatch"/>
    <n v="7"/>
    <n v="934.61"/>
    <n v="6542.27"/>
    <n v="29.69"/>
    <d v="2026-01-29T00:00:00"/>
    <x v="4"/>
  </r>
  <r>
    <s v="CUST1170"/>
    <s v="Anthony Frye"/>
    <s v="Female"/>
    <n v="27"/>
    <s v="Elizabethchester"/>
    <s v="West"/>
    <s v="Tablet"/>
    <n v="7"/>
    <n v="1327.1"/>
    <n v="9289.7000000000007"/>
    <n v="1.31"/>
    <d v="2025-02-07T00:00:00"/>
    <x v="21"/>
  </r>
  <r>
    <s v="CUST1171"/>
    <s v="Teresa Henderson"/>
    <s v="Male"/>
    <n v="41"/>
    <s v="West Carolinestad"/>
    <s v="East"/>
    <s v="Laptop"/>
    <n v="4"/>
    <n v="914.6"/>
    <n v="3658.4"/>
    <n v="39.24"/>
    <d v="2024-07-28T00:00:00"/>
    <x v="14"/>
  </r>
  <r>
    <s v="CUST1172"/>
    <s v="Christy Douglas"/>
    <s v="Other"/>
    <n v="41"/>
    <s v="Port Daniel"/>
    <s v="East"/>
    <s v="Laptop"/>
    <n v="9"/>
    <n v="1808.31"/>
    <n v="16274.79"/>
    <n v="15.93"/>
    <d v="2026-02-24T00:00:00"/>
    <x v="5"/>
  </r>
  <r>
    <s v="CUST1173"/>
    <s v="Ashley Ramirez"/>
    <s v="Female"/>
    <n v="30"/>
    <s v="Port Roy"/>
    <s v="North"/>
    <s v="Camera"/>
    <n v="2"/>
    <n v="1900.57"/>
    <n v="3801.14"/>
    <n v="8.48"/>
    <d v="2025-07-18T00:00:00"/>
    <x v="20"/>
  </r>
  <r>
    <s v="CUST1174"/>
    <s v="Sabrina Austin"/>
    <s v="Male"/>
    <n v="58"/>
    <s v="New Sarahview"/>
    <s v="East"/>
    <s v="Mobile"/>
    <n v="10"/>
    <n v="1943.63"/>
    <n v="19436.3"/>
    <n v="39.549999999999997"/>
    <d v="2024-05-31T00:00:00"/>
    <x v="17"/>
  </r>
  <r>
    <s v="CUST1175"/>
    <s v="Michael Parker"/>
    <s v="Other"/>
    <n v="68"/>
    <s v="Michaelburgh"/>
    <s v="South"/>
    <s v="Smartwatch"/>
    <n v="10"/>
    <n v="450.15"/>
    <n v="4501.5"/>
    <n v="8.64"/>
    <d v="2026-03-15T00:00:00"/>
    <x v="9"/>
  </r>
  <r>
    <s v="CUST1176"/>
    <s v="Matthew Jones"/>
    <s v="Other"/>
    <n v="32"/>
    <s v="North Julieborough"/>
    <s v="North"/>
    <s v="Tablet"/>
    <n v="6"/>
    <n v="1560.02"/>
    <n v="9360.1200000000008"/>
    <n v="34.340000000000003"/>
    <d v="2025-02-25T00:00:00"/>
    <x v="21"/>
  </r>
  <r>
    <s v="CUST1177"/>
    <s v="Glen Wood"/>
    <s v="Male"/>
    <n v="27"/>
    <s v="Kimberlyshire"/>
    <s v="North"/>
    <s v="Camera"/>
    <n v="3"/>
    <n v="1103.42"/>
    <n v="3310.26"/>
    <n v="34.659999999999997"/>
    <d v="2025-08-15T00:00:00"/>
    <x v="11"/>
  </r>
  <r>
    <s v="CUST1178"/>
    <s v="Anthony Moore"/>
    <s v="Male"/>
    <n v="26"/>
    <s v="Lake Christophermouth"/>
    <s v="East"/>
    <s v="Laptop"/>
    <n v="1"/>
    <n v="748.57"/>
    <n v="748.57"/>
    <n v="6.97"/>
    <d v="2025-10-05T00:00:00"/>
    <x v="0"/>
  </r>
  <r>
    <s v="CUST1179"/>
    <s v="Lawrence Perry"/>
    <s v="Other"/>
    <n v="21"/>
    <s v="Port William"/>
    <s v="North"/>
    <s v="Camera"/>
    <n v="3"/>
    <n v="1496.35"/>
    <n v="4489.05"/>
    <n v="2.54"/>
    <d v="2025-02-01T00:00:00"/>
    <x v="21"/>
  </r>
  <r>
    <s v="CUST1180"/>
    <s v="Douglas Gregory"/>
    <s v="Male"/>
    <n v="46"/>
    <s v="Roseport"/>
    <s v="West"/>
    <s v="Smartwatch"/>
    <n v="6"/>
    <n v="1050.81"/>
    <n v="6304.86"/>
    <n v="8.86"/>
    <d v="2024-06-13T00:00:00"/>
    <x v="24"/>
  </r>
  <r>
    <s v="CUST1181"/>
    <s v="William Brown"/>
    <s v="Other"/>
    <n v="57"/>
    <s v="West Sierra"/>
    <s v="East"/>
    <s v="Headphones"/>
    <n v="1"/>
    <n v="1468.12"/>
    <n v="1468.12"/>
    <n v="25.73"/>
    <d v="2025-12-26T00:00:00"/>
    <x v="8"/>
  </r>
  <r>
    <s v="CUST1182"/>
    <s v="David Murphy"/>
    <s v="Female"/>
    <n v="19"/>
    <s v="South Julieburgh"/>
    <s v="West"/>
    <s v="Camera"/>
    <n v="1"/>
    <n v="1997.24"/>
    <n v="1997.24"/>
    <n v="4.32"/>
    <d v="2024-08-17T00:00:00"/>
    <x v="12"/>
  </r>
  <r>
    <s v="CUST1183"/>
    <s v="Michael Mason"/>
    <s v="Male"/>
    <n v="63"/>
    <s v="Charleston"/>
    <s v="East"/>
    <s v="Smartwatch"/>
    <n v="8"/>
    <n v="193.31"/>
    <n v="1546.48"/>
    <n v="5.93"/>
    <d v="2025-04-12T00:00:00"/>
    <x v="13"/>
  </r>
  <r>
    <s v="CUST1184"/>
    <s v="Thomas Atkins"/>
    <s v="Other"/>
    <n v="26"/>
    <s v="Berrychester"/>
    <s v="East"/>
    <s v="Headphones"/>
    <n v="5"/>
    <n v="1267.42"/>
    <n v="6337.1"/>
    <n v="39.79"/>
    <d v="2024-12-19T00:00:00"/>
    <x v="2"/>
  </r>
  <r>
    <s v="CUST1185"/>
    <s v="Alex Nguyen"/>
    <s v="Other"/>
    <n v="51"/>
    <s v="Collierstad"/>
    <s v="West"/>
    <s v="Laptop"/>
    <n v="5"/>
    <n v="934.75"/>
    <n v="4673.75"/>
    <n v="31.72"/>
    <d v="2024-07-16T00:00:00"/>
    <x v="14"/>
  </r>
  <r>
    <s v="CUST1186"/>
    <s v="Brian Graham"/>
    <s v="Male"/>
    <n v="25"/>
    <s v="Warrenfurt"/>
    <s v="West"/>
    <s v="Headphones"/>
    <n v="9"/>
    <n v="1455.64"/>
    <n v="13100.76"/>
    <n v="35.520000000000003"/>
    <d v="2026-03-16T00:00:00"/>
    <x v="9"/>
  </r>
  <r>
    <s v="CUST1187"/>
    <s v="Gerald Cook"/>
    <s v="Female"/>
    <n v="44"/>
    <s v="North William"/>
    <s v="West"/>
    <s v="Camera"/>
    <n v="6"/>
    <n v="1663.47"/>
    <n v="9980.82"/>
    <n v="3.8"/>
    <d v="2024-08-05T00:00:00"/>
    <x v="12"/>
  </r>
  <r>
    <s v="CUST1188"/>
    <s v="Cheyenne Parsons"/>
    <s v="Female"/>
    <n v="45"/>
    <s v="Jessicaberg"/>
    <s v="South"/>
    <s v="Camera"/>
    <n v="6"/>
    <n v="1346.96"/>
    <n v="8081.76"/>
    <n v="36.92"/>
    <d v="2024-11-08T00:00:00"/>
    <x v="10"/>
  </r>
  <r>
    <s v="CUST1189"/>
    <s v="David Thompson"/>
    <s v="Male"/>
    <n v="22"/>
    <s v="Port Katherine"/>
    <s v="West"/>
    <s v="Laptop"/>
    <n v="2"/>
    <n v="1671.96"/>
    <n v="3343.92"/>
    <n v="29.78"/>
    <d v="2024-07-06T00:00:00"/>
    <x v="14"/>
  </r>
  <r>
    <s v="CUST1190"/>
    <s v="Raymond Snyder"/>
    <s v="Other"/>
    <n v="41"/>
    <s v="Maldonadoshire"/>
    <s v="East"/>
    <s v="Camera"/>
    <n v="3"/>
    <n v="1134.92"/>
    <n v="3404.76"/>
    <n v="4.8899999999999997"/>
    <d v="2025-09-20T00:00:00"/>
    <x v="16"/>
  </r>
  <r>
    <s v="CUST1191"/>
    <s v="Lori Lin"/>
    <s v="Other"/>
    <n v="40"/>
    <s v="Edwardland"/>
    <s v="North"/>
    <s v="Tablet"/>
    <n v="7"/>
    <n v="1742.78"/>
    <n v="12199.46"/>
    <n v="24.02"/>
    <d v="2025-05-08T00:00:00"/>
    <x v="15"/>
  </r>
  <r>
    <s v="CUST1192"/>
    <s v="Eric Hill"/>
    <s v="Male"/>
    <n v="40"/>
    <s v="West Williamport"/>
    <s v="South"/>
    <s v="Camera"/>
    <n v="2"/>
    <n v="1176.94"/>
    <n v="2353.88"/>
    <n v="19.29"/>
    <d v="2025-05-02T00:00:00"/>
    <x v="15"/>
  </r>
  <r>
    <s v="CUST1193"/>
    <s v="Anthony Decker"/>
    <s v="Female"/>
    <n v="24"/>
    <s v="Lake Michelleland"/>
    <s v="North"/>
    <s v="Tablet"/>
    <n v="6"/>
    <n v="1698.48"/>
    <n v="10190.879999999999"/>
    <n v="22.96"/>
    <d v="2025-08-29T00:00:00"/>
    <x v="11"/>
  </r>
  <r>
    <s v="CUST1194"/>
    <s v="Janice Carpenter"/>
    <s v="Other"/>
    <n v="69"/>
    <s v="South Reginashire"/>
    <s v="North"/>
    <s v="Smartwatch"/>
    <n v="7"/>
    <n v="1698.05"/>
    <n v="11886.35"/>
    <n v="37.159999999999997"/>
    <d v="2025-09-27T00:00:00"/>
    <x v="16"/>
  </r>
  <r>
    <s v="CUST1195"/>
    <s v="Larry Mason"/>
    <s v="Female"/>
    <n v="62"/>
    <s v="South Dalemouth"/>
    <s v="East"/>
    <s v="Tablet"/>
    <n v="5"/>
    <n v="106.46"/>
    <n v="532.29999999999995"/>
    <n v="14.04"/>
    <d v="2025-11-14T00:00:00"/>
    <x v="6"/>
  </r>
  <r>
    <s v="CUST1196"/>
    <s v="Matthew Williams"/>
    <s v="Female"/>
    <n v="29"/>
    <s v="Ritterhaven"/>
    <s v="North"/>
    <s v="Mobile"/>
    <n v="3"/>
    <n v="1154.33"/>
    <n v="3462.99"/>
    <n v="29.64"/>
    <d v="2025-06-19T00:00:00"/>
    <x v="1"/>
  </r>
  <r>
    <s v="CUST1197"/>
    <s v="Helen Hardin"/>
    <s v="Male"/>
    <n v="19"/>
    <s v="Ortizmouth"/>
    <s v="West"/>
    <s v="Headphones"/>
    <n v="2"/>
    <n v="1504.92"/>
    <n v="3009.84"/>
    <n v="18.149999999999999"/>
    <d v="2025-10-18T00:00:00"/>
    <x v="0"/>
  </r>
  <r>
    <s v="CUST1198"/>
    <s v="Rachel Holland"/>
    <s v="Female"/>
    <n v="28"/>
    <s v="West Codyfurt"/>
    <s v="North"/>
    <s v="Laptop"/>
    <n v="6"/>
    <n v="657.69"/>
    <n v="3946.14"/>
    <n v="6.22"/>
    <d v="2024-12-15T00:00:00"/>
    <x v="2"/>
  </r>
  <r>
    <s v="CUST1199"/>
    <s v="Samuel Brandt"/>
    <s v="Male"/>
    <n v="66"/>
    <s v="West Christopher"/>
    <s v="East"/>
    <s v="Headphones"/>
    <n v="10"/>
    <n v="147.04"/>
    <n v="1470.4"/>
    <n v="26.48"/>
    <d v="2025-10-06T00:00:00"/>
    <x v="0"/>
  </r>
  <r>
    <s v="CUST1200"/>
    <s v="Gregory Ponce"/>
    <s v="Female"/>
    <n v="49"/>
    <s v="Andersonland"/>
    <s v="South"/>
    <s v="Smartwatch"/>
    <n v="10"/>
    <n v="911.99"/>
    <n v="9119.9"/>
    <n v="4.55"/>
    <d v="2025-01-04T00:00:00"/>
    <x v="23"/>
  </r>
  <r>
    <s v="CUST1201"/>
    <s v="Maria Murphy"/>
    <s v="Other"/>
    <n v="45"/>
    <s v="Lake Jacqueline"/>
    <s v="West"/>
    <s v="Smartwatch"/>
    <n v="2"/>
    <n v="602.33000000000004"/>
    <n v="1204.6600000000001"/>
    <n v="26.69"/>
    <d v="2025-12-03T00:00:00"/>
    <x v="8"/>
  </r>
  <r>
    <s v="CUST1202"/>
    <s v="Susan Davis DDS"/>
    <s v="Other"/>
    <n v="20"/>
    <s v="Andrewport"/>
    <s v="North"/>
    <s v="Laptop"/>
    <n v="4"/>
    <n v="820.76"/>
    <n v="3283.04"/>
    <n v="8.18"/>
    <d v="2024-09-26T00:00:00"/>
    <x v="7"/>
  </r>
  <r>
    <s v="CUST1203"/>
    <s v="Gloria Miranda"/>
    <s v="Female"/>
    <n v="31"/>
    <s v="East Zoe"/>
    <s v="East"/>
    <s v="Laptop"/>
    <n v="3"/>
    <n v="1540.11"/>
    <n v="4620.33"/>
    <n v="0.31"/>
    <d v="2024-09-06T00:00:00"/>
    <x v="7"/>
  </r>
  <r>
    <s v="CUST1204"/>
    <s v="Ryan Garcia"/>
    <s v="Female"/>
    <n v="65"/>
    <s v="Lake Matthewberg"/>
    <s v="South"/>
    <s v="Smartwatch"/>
    <n v="7"/>
    <n v="392.6"/>
    <n v="2748.2"/>
    <n v="22.35"/>
    <d v="2025-08-15T00:00:00"/>
    <x v="11"/>
  </r>
  <r>
    <s v="CUST1205"/>
    <s v="Christopher Guerra"/>
    <s v="Other"/>
    <n v="60"/>
    <s v="Lake Samuel"/>
    <s v="North"/>
    <s v="Headphones"/>
    <n v="6"/>
    <n v="190.55"/>
    <n v="1143.3"/>
    <n v="0.75"/>
    <d v="2025-03-24T00:00:00"/>
    <x v="22"/>
  </r>
  <r>
    <s v="CUST1206"/>
    <s v="Nathan Montes"/>
    <s v="Other"/>
    <n v="22"/>
    <s v="Karenmouth"/>
    <s v="West"/>
    <s v="Camera"/>
    <n v="6"/>
    <n v="1172.73"/>
    <n v="7036.38"/>
    <n v="25.61"/>
    <d v="2024-11-06T00:00:00"/>
    <x v="10"/>
  </r>
  <r>
    <s v="CUST1207"/>
    <s v="Emily Stokes"/>
    <s v="Female"/>
    <n v="36"/>
    <s v="Mckeeborough"/>
    <s v="South"/>
    <s v="Smartwatch"/>
    <n v="2"/>
    <n v="839.81"/>
    <n v="1679.62"/>
    <n v="18.399999999999999"/>
    <d v="2025-02-18T00:00:00"/>
    <x v="21"/>
  </r>
  <r>
    <s v="CUST1208"/>
    <s v="Laura Alexander"/>
    <s v="Male"/>
    <n v="62"/>
    <s v="Kimberlyhaven"/>
    <s v="South"/>
    <s v="Headphones"/>
    <n v="6"/>
    <n v="221.85"/>
    <n v="1331.1"/>
    <n v="23.55"/>
    <d v="2025-06-22T00:00:00"/>
    <x v="1"/>
  </r>
  <r>
    <s v="CUST1209"/>
    <s v="Christopher Gonzalez"/>
    <s v="Female"/>
    <n v="51"/>
    <s v="Port John"/>
    <s v="East"/>
    <s v="Mobile"/>
    <n v="2"/>
    <n v="821.75"/>
    <n v="1643.5"/>
    <n v="13.32"/>
    <d v="2025-09-19T00:00:00"/>
    <x v="16"/>
  </r>
  <r>
    <s v="CUST1210"/>
    <s v="Mr. Timothy Dawson"/>
    <s v="Male"/>
    <n v="28"/>
    <s v="West Christopherburgh"/>
    <s v="South"/>
    <s v="Tablet"/>
    <n v="2"/>
    <n v="1045.44"/>
    <n v="2090.88"/>
    <n v="14.04"/>
    <d v="2024-12-06T00:00:00"/>
    <x v="2"/>
  </r>
  <r>
    <s v="CUST1211"/>
    <s v="Jose Guerra"/>
    <s v="Male"/>
    <n v="70"/>
    <s v="East Lisastad"/>
    <s v="East"/>
    <s v="Mobile"/>
    <n v="3"/>
    <n v="510.72"/>
    <n v="1532.16"/>
    <n v="6.94"/>
    <d v="2026-05-01T00:00:00"/>
    <x v="18"/>
  </r>
  <r>
    <s v="CUST1212"/>
    <s v="Anthony Shaw"/>
    <s v="Other"/>
    <n v="27"/>
    <s v="South Virginia"/>
    <s v="West"/>
    <s v="Headphones"/>
    <n v="2"/>
    <n v="395.43"/>
    <n v="790.86"/>
    <n v="30.18"/>
    <d v="2025-02-24T00:00:00"/>
    <x v="21"/>
  </r>
  <r>
    <s v="CUST1213"/>
    <s v="Fernando Garcia"/>
    <s v="Other"/>
    <n v="66"/>
    <s v="Laceyberg"/>
    <s v="East"/>
    <s v="Camera"/>
    <n v="10"/>
    <n v="925.37"/>
    <n v="9253.7000000000007"/>
    <n v="12.65"/>
    <d v="2024-06-07T00:00:00"/>
    <x v="24"/>
  </r>
  <r>
    <s v="CUST1214"/>
    <s v="Ronald Horton"/>
    <s v="Other"/>
    <n v="46"/>
    <s v="Port Janice"/>
    <s v="East"/>
    <s v="Tablet"/>
    <n v="2"/>
    <n v="964.4"/>
    <n v="1928.8"/>
    <n v="23.66"/>
    <d v="2025-04-22T00:00:00"/>
    <x v="13"/>
  </r>
  <r>
    <s v="CUST1215"/>
    <s v="Susan Smith"/>
    <s v="Female"/>
    <n v="40"/>
    <s v="Port Edward"/>
    <s v="West"/>
    <s v="Laptop"/>
    <n v="9"/>
    <n v="194.67"/>
    <n v="1752.03"/>
    <n v="2.2799999999999998"/>
    <d v="2026-05-09T00:00:00"/>
    <x v="18"/>
  </r>
  <r>
    <s v="CUST1216"/>
    <s v="Kelsey Rodriguez"/>
    <s v="Male"/>
    <n v="36"/>
    <s v="Johnville"/>
    <s v="West"/>
    <s v="Headphones"/>
    <n v="2"/>
    <n v="1307.0999999999999"/>
    <n v="2614.1999999999998"/>
    <n v="23.21"/>
    <d v="2024-06-15T00:00:00"/>
    <x v="24"/>
  </r>
  <r>
    <s v="CUST1217"/>
    <s v="Mark Dean"/>
    <s v="Other"/>
    <n v="68"/>
    <s v="North Maryfort"/>
    <s v="South"/>
    <s v="Tablet"/>
    <n v="1"/>
    <n v="926.98"/>
    <n v="926.98"/>
    <n v="24.2"/>
    <d v="2025-08-15T00:00:00"/>
    <x v="11"/>
  </r>
  <r>
    <s v="CUST1218"/>
    <s v="Lynn Andrews"/>
    <s v="Female"/>
    <n v="50"/>
    <s v="West Ruben"/>
    <s v="North"/>
    <s v="Tablet"/>
    <n v="3"/>
    <n v="1917.56"/>
    <n v="5752.68"/>
    <n v="39.299999999999997"/>
    <d v="2025-08-29T00:00:00"/>
    <x v="11"/>
  </r>
  <r>
    <s v="CUST1219"/>
    <s v="Kenneth Lopez"/>
    <s v="Male"/>
    <n v="23"/>
    <s v="New Theresaland"/>
    <s v="South"/>
    <s v="Camera"/>
    <n v="9"/>
    <n v="1309.95"/>
    <n v="11789.55"/>
    <n v="17.510000000000002"/>
    <d v="2025-06-21T00:00:00"/>
    <x v="1"/>
  </r>
  <r>
    <s v="CUST1220"/>
    <s v="Rachel Romero"/>
    <s v="Male"/>
    <n v="46"/>
    <s v="South Morganton"/>
    <s v="East"/>
    <s v="Tablet"/>
    <n v="9"/>
    <n v="1069.3599999999999"/>
    <n v="9624.24"/>
    <n v="36.72"/>
    <d v="2025-09-14T00:00:00"/>
    <x v="16"/>
  </r>
  <r>
    <s v="CUST1221"/>
    <s v="James Burgess"/>
    <s v="Other"/>
    <n v="42"/>
    <s v="Kristinastad"/>
    <s v="North"/>
    <s v="Camera"/>
    <n v="7"/>
    <n v="1560.21"/>
    <n v="10921.47"/>
    <n v="25.89"/>
    <d v="2024-11-12T00:00:00"/>
    <x v="10"/>
  </r>
  <r>
    <s v="CUST1222"/>
    <s v="Lori Ingram"/>
    <s v="Other"/>
    <n v="22"/>
    <s v="Dennisstad"/>
    <s v="West"/>
    <s v="Tablet"/>
    <n v="6"/>
    <n v="234.29"/>
    <n v="1405.74"/>
    <n v="10.08"/>
    <d v="2025-07-07T00:00:00"/>
    <x v="20"/>
  </r>
  <r>
    <s v="CUST1223"/>
    <s v="Marvin Greer"/>
    <s v="Female"/>
    <n v="60"/>
    <s v="Pollardfort"/>
    <s v="North"/>
    <s v="Smartwatch"/>
    <n v="10"/>
    <n v="1752.9"/>
    <n v="17529"/>
    <n v="26.54"/>
    <d v="2025-09-11T00:00:00"/>
    <x v="16"/>
  </r>
  <r>
    <s v="CUST1224"/>
    <s v="Chad Baldwin"/>
    <s v="Other"/>
    <n v="40"/>
    <s v="Johnsonborough"/>
    <s v="West"/>
    <s v="Mobile"/>
    <n v="5"/>
    <n v="1937.01"/>
    <n v="9685.0499999999993"/>
    <n v="23.8"/>
    <d v="2024-06-12T00:00:00"/>
    <x v="24"/>
  </r>
  <r>
    <s v="CUST1225"/>
    <s v="Stacey Stewart"/>
    <s v="Other"/>
    <n v="23"/>
    <s v="Zacharyside"/>
    <s v="East"/>
    <s v="Mobile"/>
    <n v="5"/>
    <n v="1139.9000000000001"/>
    <n v="5699.5"/>
    <n v="26.8"/>
    <d v="2025-05-11T00:00:00"/>
    <x v="15"/>
  </r>
  <r>
    <s v="CUST1226"/>
    <s v="Paul Lee"/>
    <s v="Other"/>
    <n v="65"/>
    <s v="Michelleton"/>
    <s v="West"/>
    <s v="Smartwatch"/>
    <n v="9"/>
    <n v="232.23"/>
    <n v="2090.0700000000002"/>
    <n v="14.47"/>
    <d v="2026-03-12T00:00:00"/>
    <x v="9"/>
  </r>
  <r>
    <s v="CUST1227"/>
    <s v="Denise Lloyd"/>
    <s v="Male"/>
    <n v="41"/>
    <s v="Prestonmouth"/>
    <s v="East"/>
    <s v="Headphones"/>
    <n v="5"/>
    <n v="401.51"/>
    <n v="2007.55"/>
    <n v="7.68"/>
    <d v="2026-04-03T00:00:00"/>
    <x v="19"/>
  </r>
  <r>
    <s v="CUST1228"/>
    <s v="Gina Lopez"/>
    <s v="Male"/>
    <n v="26"/>
    <s v="Richardsonhaven"/>
    <s v="North"/>
    <s v="Camera"/>
    <n v="3"/>
    <n v="200.47"/>
    <n v="601.41"/>
    <n v="13.47"/>
    <d v="2024-12-02T00:00:00"/>
    <x v="2"/>
  </r>
  <r>
    <s v="CUST1229"/>
    <s v="Monica Miller"/>
    <s v="Female"/>
    <n v="67"/>
    <s v="New Kelly"/>
    <s v="South"/>
    <s v="Mobile"/>
    <n v="10"/>
    <n v="305.55"/>
    <n v="3055.5"/>
    <n v="7.23"/>
    <d v="2024-07-27T00:00:00"/>
    <x v="14"/>
  </r>
  <r>
    <s v="CUST1230"/>
    <s v="Matthew Parker"/>
    <s v="Male"/>
    <n v="62"/>
    <s v="Jacksonmouth"/>
    <s v="West"/>
    <s v="Laptop"/>
    <n v="10"/>
    <n v="1627.64"/>
    <n v="16276.4"/>
    <n v="16.43"/>
    <d v="2025-02-06T00:00:00"/>
    <x v="21"/>
  </r>
  <r>
    <s v="CUST1231"/>
    <s v="Nicholas Buck"/>
    <s v="Other"/>
    <n v="61"/>
    <s v="Hillton"/>
    <s v="East"/>
    <s v="Camera"/>
    <n v="4"/>
    <n v="1940.7"/>
    <n v="7762.8"/>
    <n v="31.35"/>
    <d v="2024-07-06T00:00:00"/>
    <x v="14"/>
  </r>
  <r>
    <s v="CUST1232"/>
    <s v="Jennifer Palmer"/>
    <s v="Female"/>
    <n v="32"/>
    <s v="North Douglas"/>
    <s v="South"/>
    <s v="Tablet"/>
    <n v="9"/>
    <n v="516.38"/>
    <n v="4647.42"/>
    <n v="27.13"/>
    <d v="2025-08-23T00:00:00"/>
    <x v="11"/>
  </r>
  <r>
    <s v="CUST1233"/>
    <s v="Jessica Martinez"/>
    <s v="Female"/>
    <n v="54"/>
    <s v="Port Deanna"/>
    <s v="West"/>
    <s v="Smartwatch"/>
    <n v="8"/>
    <n v="950.28"/>
    <n v="7602.24"/>
    <n v="21.1"/>
    <d v="2025-02-14T00:00:00"/>
    <x v="21"/>
  </r>
  <r>
    <s v="CUST1234"/>
    <s v="Keith Jacobs"/>
    <s v="Male"/>
    <n v="28"/>
    <s v="Rushstad"/>
    <s v="East"/>
    <s v="Laptop"/>
    <n v="4"/>
    <n v="1612.46"/>
    <n v="6449.84"/>
    <n v="25.65"/>
    <d v="2025-04-18T00:00:00"/>
    <x v="13"/>
  </r>
  <r>
    <s v="CUST1235"/>
    <s v="Laura Moreno"/>
    <s v="Other"/>
    <n v="41"/>
    <s v="Edwardsview"/>
    <s v="North"/>
    <s v="Tablet"/>
    <n v="9"/>
    <n v="1871.87"/>
    <n v="16846.830000000002"/>
    <n v="3.36"/>
    <d v="2024-11-18T00:00:00"/>
    <x v="10"/>
  </r>
  <r>
    <s v="CUST1236"/>
    <s v="Allison Lopez"/>
    <s v="Other"/>
    <n v="28"/>
    <s v="Mcintyreville"/>
    <s v="South"/>
    <s v="Headphones"/>
    <n v="5"/>
    <n v="926.17"/>
    <n v="4630.8500000000004"/>
    <n v="3.67"/>
    <d v="2024-11-28T00:00:00"/>
    <x v="10"/>
  </r>
  <r>
    <s v="CUST1237"/>
    <s v="Michele Lewis"/>
    <s v="Male"/>
    <n v="32"/>
    <s v="Heatherfort"/>
    <s v="West"/>
    <s v="Laptop"/>
    <n v="8"/>
    <n v="1775.03"/>
    <n v="14200.24"/>
    <n v="15.86"/>
    <d v="2024-10-11T00:00:00"/>
    <x v="3"/>
  </r>
  <r>
    <s v="CUST1238"/>
    <s v="Samuel Hayes"/>
    <s v="Male"/>
    <n v="41"/>
    <s v="Osbornmouth"/>
    <s v="East"/>
    <s v="Mobile"/>
    <n v="4"/>
    <n v="803.02"/>
    <n v="3212.08"/>
    <n v="1.1299999999999999"/>
    <d v="2025-10-09T00:00:00"/>
    <x v="0"/>
  </r>
  <r>
    <s v="CUST1239"/>
    <s v="Austin Daniels"/>
    <s v="Male"/>
    <n v="24"/>
    <s v="Melissaburgh"/>
    <s v="North"/>
    <s v="Tablet"/>
    <n v="6"/>
    <n v="1593.19"/>
    <n v="9559.14"/>
    <n v="36.700000000000003"/>
    <d v="2026-01-15T00:00:00"/>
    <x v="4"/>
  </r>
  <r>
    <s v="CUST1240"/>
    <s v="Danny Galloway"/>
    <s v="Female"/>
    <n v="48"/>
    <s v="East Kristy"/>
    <s v="West"/>
    <s v="Smartwatch"/>
    <n v="3"/>
    <n v="1529.74"/>
    <n v="4589.22"/>
    <n v="0.21"/>
    <d v="2024-05-29T00:00:00"/>
    <x v="17"/>
  </r>
  <r>
    <s v="CUST1241"/>
    <s v="Kenneth Mcdonald"/>
    <s v="Male"/>
    <n v="23"/>
    <s v="New Nicole"/>
    <s v="West"/>
    <s v="Laptop"/>
    <n v="1"/>
    <n v="549.04999999999995"/>
    <n v="549.04999999999995"/>
    <n v="31.05"/>
    <d v="2024-06-29T00:00:00"/>
    <x v="24"/>
  </r>
  <r>
    <s v="CUST1242"/>
    <s v="Zachary Higgins"/>
    <s v="Male"/>
    <n v="33"/>
    <s v="Hammondshire"/>
    <s v="West"/>
    <s v="Camera"/>
    <n v="5"/>
    <n v="287.60000000000002"/>
    <n v="1438"/>
    <n v="31.76"/>
    <d v="2024-07-05T00:00:00"/>
    <x v="14"/>
  </r>
  <r>
    <s v="CUST1243"/>
    <s v="Evan Jones"/>
    <s v="Female"/>
    <n v="47"/>
    <s v="Frazierstad"/>
    <s v="North"/>
    <s v="Camera"/>
    <n v="2"/>
    <n v="266.17"/>
    <n v="532.34"/>
    <n v="20.62"/>
    <d v="2024-08-16T00:00:00"/>
    <x v="12"/>
  </r>
  <r>
    <s v="CUST1244"/>
    <s v="Penny Bowman"/>
    <s v="Male"/>
    <n v="33"/>
    <s v="Port Tammy"/>
    <s v="East"/>
    <s v="Mobile"/>
    <n v="3"/>
    <n v="617.98"/>
    <n v="1853.94"/>
    <n v="22.83"/>
    <d v="2025-04-10T00:00:00"/>
    <x v="13"/>
  </r>
  <r>
    <s v="CUST1245"/>
    <s v="Sheena Guerra"/>
    <s v="Female"/>
    <n v="29"/>
    <s v="West Fred"/>
    <s v="North"/>
    <s v="Smartwatch"/>
    <n v="2"/>
    <n v="1070.79"/>
    <n v="2141.58"/>
    <n v="21.76"/>
    <d v="2025-01-14T00:00:00"/>
    <x v="23"/>
  </r>
  <r>
    <s v="CUST1246"/>
    <s v="Courtney Meza"/>
    <s v="Female"/>
    <n v="68"/>
    <s v="Meghanview"/>
    <s v="West"/>
    <s v="Laptop"/>
    <n v="9"/>
    <n v="1130.5999999999999"/>
    <n v="10175.4"/>
    <n v="25.43"/>
    <d v="2024-10-08T00:00:00"/>
    <x v="3"/>
  </r>
  <r>
    <s v="CUST1247"/>
    <s v="Krista Martinez"/>
    <s v="Female"/>
    <n v="41"/>
    <s v="Christinaland"/>
    <s v="North"/>
    <s v="Tablet"/>
    <n v="5"/>
    <n v="1507.27"/>
    <n v="7536.35"/>
    <n v="9.65"/>
    <d v="2025-06-03T00:00:00"/>
    <x v="1"/>
  </r>
  <r>
    <s v="CUST1248"/>
    <s v="Leslie Carpenter"/>
    <s v="Other"/>
    <n v="60"/>
    <s v="Lake Claudia"/>
    <s v="East"/>
    <s v="Mobile"/>
    <n v="2"/>
    <n v="1554.43"/>
    <n v="3108.86"/>
    <n v="1.77"/>
    <d v="2026-04-09T00:00:00"/>
    <x v="19"/>
  </r>
  <r>
    <s v="CUST1249"/>
    <s v="Sarah Elliott"/>
    <s v="Male"/>
    <n v="52"/>
    <s v="North Brandonshire"/>
    <s v="West"/>
    <s v="Camera"/>
    <n v="6"/>
    <n v="1636.34"/>
    <n v="9818.0400000000009"/>
    <n v="19.14"/>
    <d v="2024-11-30T00:00:00"/>
    <x v="10"/>
  </r>
  <r>
    <s v="CUST1250"/>
    <s v="Pamela Butler"/>
    <s v="Female"/>
    <n v="29"/>
    <s v="South Pamelaside"/>
    <s v="North"/>
    <s v="Tablet"/>
    <n v="3"/>
    <n v="173.05"/>
    <n v="519.15"/>
    <n v="8.06"/>
    <d v="2024-12-19T00:00:00"/>
    <x v="2"/>
  </r>
  <r>
    <s v="CUST1251"/>
    <s v="Elizabeth Sanchez"/>
    <s v="Female"/>
    <n v="68"/>
    <s v="Evansland"/>
    <s v="East"/>
    <s v="Smartwatch"/>
    <n v="4"/>
    <n v="1777.29"/>
    <n v="7109.16"/>
    <n v="15.93"/>
    <d v="2025-10-25T00:00:00"/>
    <x v="0"/>
  </r>
  <r>
    <s v="CUST1252"/>
    <s v="Jeffrey Washington"/>
    <s v="Male"/>
    <n v="70"/>
    <s v="West Catherine"/>
    <s v="South"/>
    <s v="Tablet"/>
    <n v="9"/>
    <n v="973.13"/>
    <n v="8758.17"/>
    <n v="14.28"/>
    <d v="2025-01-06T00:00:00"/>
    <x v="23"/>
  </r>
  <r>
    <s v="CUST1253"/>
    <s v="Emma Travis"/>
    <s v="Female"/>
    <n v="67"/>
    <s v="Theresaberg"/>
    <s v="East"/>
    <s v="Laptop"/>
    <n v="1"/>
    <n v="1738.31"/>
    <n v="1738.31"/>
    <n v="31.97"/>
    <d v="2025-12-20T00:00:00"/>
    <x v="8"/>
  </r>
  <r>
    <s v="CUST1254"/>
    <s v="Justin Flores"/>
    <s v="Female"/>
    <n v="45"/>
    <s v="Martinezmouth"/>
    <s v="East"/>
    <s v="Mobile"/>
    <n v="7"/>
    <n v="1499.45"/>
    <n v="10496.15"/>
    <n v="19.850000000000001"/>
    <d v="2024-11-17T00:00:00"/>
    <x v="10"/>
  </r>
  <r>
    <s v="CUST1255"/>
    <s v="Anthony Dougherty"/>
    <s v="Other"/>
    <n v="49"/>
    <s v="Wrightburgh"/>
    <s v="East"/>
    <s v="Laptop"/>
    <n v="6"/>
    <n v="1852.41"/>
    <n v="11114.46"/>
    <n v="29.08"/>
    <d v="2026-01-30T00:00:00"/>
    <x v="4"/>
  </r>
  <r>
    <s v="CUST1256"/>
    <s v="Kenneth Edwards"/>
    <s v="Male"/>
    <n v="23"/>
    <s v="South Wendy"/>
    <s v="East"/>
    <s v="Tablet"/>
    <n v="7"/>
    <n v="1224.78"/>
    <n v="8573.4599999999991"/>
    <n v="4.0999999999999996"/>
    <d v="2025-05-06T00:00:00"/>
    <x v="15"/>
  </r>
  <r>
    <s v="CUST1257"/>
    <s v="Mr. Alexander Landry MD"/>
    <s v="Other"/>
    <n v="38"/>
    <s v="East Brandy"/>
    <s v="West"/>
    <s v="Mobile"/>
    <n v="5"/>
    <n v="647.66999999999996"/>
    <n v="3238.35"/>
    <n v="27.59"/>
    <d v="2024-06-15T00:00:00"/>
    <x v="24"/>
  </r>
  <r>
    <s v="CUST1258"/>
    <s v="Johnny Khan"/>
    <s v="Female"/>
    <n v="40"/>
    <s v="Mitchelltown"/>
    <s v="West"/>
    <s v="Tablet"/>
    <n v="8"/>
    <n v="132.59"/>
    <n v="1060.72"/>
    <n v="25.58"/>
    <d v="2026-02-26T00:00:00"/>
    <x v="5"/>
  </r>
  <r>
    <s v="CUST1259"/>
    <s v="Cesar Baker"/>
    <s v="Other"/>
    <n v="68"/>
    <s v="Kathrynstad"/>
    <s v="West"/>
    <s v="Tablet"/>
    <n v="1"/>
    <n v="196.33"/>
    <n v="196.33"/>
    <n v="20.52"/>
    <d v="2024-06-13T00:00:00"/>
    <x v="24"/>
  </r>
  <r>
    <s v="CUST1260"/>
    <s v="Kelly Lee"/>
    <s v="Male"/>
    <n v="65"/>
    <s v="Charleshaven"/>
    <s v="West"/>
    <s v="Laptop"/>
    <n v="3"/>
    <n v="1907.94"/>
    <n v="5723.82"/>
    <n v="5.05"/>
    <d v="2025-04-23T00:00:00"/>
    <x v="13"/>
  </r>
  <r>
    <s v="CUST1261"/>
    <s v="Diana Hays"/>
    <s v="Other"/>
    <n v="33"/>
    <s v="East Theresafurt"/>
    <s v="North"/>
    <s v="Smartwatch"/>
    <n v="6"/>
    <n v="756.19"/>
    <n v="4537.1400000000003"/>
    <n v="6.14"/>
    <d v="2025-02-22T00:00:00"/>
    <x v="21"/>
  </r>
  <r>
    <s v="CUST1262"/>
    <s v="Gina Mcmillan"/>
    <s v="Male"/>
    <n v="46"/>
    <s v="East Carrie"/>
    <s v="South"/>
    <s v="Smartwatch"/>
    <n v="6"/>
    <n v="775.43"/>
    <n v="4652.58"/>
    <n v="14.68"/>
    <d v="2025-03-16T00:00:00"/>
    <x v="22"/>
  </r>
  <r>
    <s v="CUST1263"/>
    <s v="Amber Taylor"/>
    <s v="Male"/>
    <n v="38"/>
    <s v="Lindahaven"/>
    <s v="North"/>
    <s v="Camera"/>
    <n v="5"/>
    <n v="536.74"/>
    <n v="2683.7"/>
    <n v="7.44"/>
    <d v="2025-04-28T00:00:00"/>
    <x v="13"/>
  </r>
  <r>
    <s v="CUST1264"/>
    <s v="Steven Taylor"/>
    <s v="Male"/>
    <n v="51"/>
    <s v="Franciscoport"/>
    <s v="East"/>
    <s v="Tablet"/>
    <n v="7"/>
    <n v="1831.41"/>
    <n v="12819.87"/>
    <n v="28.16"/>
    <d v="2025-08-13T00:00:00"/>
    <x v="11"/>
  </r>
  <r>
    <s v="CUST1265"/>
    <s v="Ronald Patel"/>
    <s v="Female"/>
    <n v="31"/>
    <s v="Thomastown"/>
    <s v="South"/>
    <s v="Laptop"/>
    <n v="10"/>
    <n v="606.87"/>
    <n v="6068.7"/>
    <n v="5.43"/>
    <d v="2025-02-19T00:00:00"/>
    <x v="21"/>
  </r>
  <r>
    <s v="CUST1266"/>
    <s v="Brian Butler"/>
    <s v="Other"/>
    <n v="22"/>
    <s v="Lauratown"/>
    <s v="West"/>
    <s v="Laptop"/>
    <n v="8"/>
    <n v="386.68"/>
    <n v="3093.44"/>
    <n v="32.42"/>
    <d v="2025-08-15T00:00:00"/>
    <x v="11"/>
  </r>
  <r>
    <s v="CUST1267"/>
    <s v="Walter Patton"/>
    <s v="Other"/>
    <n v="38"/>
    <s v="Lake Brett"/>
    <s v="East"/>
    <s v="Tablet"/>
    <n v="6"/>
    <n v="1433.6"/>
    <n v="8601.6"/>
    <n v="34.049999999999997"/>
    <d v="2025-05-17T00:00:00"/>
    <x v="15"/>
  </r>
  <r>
    <s v="CUST1268"/>
    <s v="Mark Harvey"/>
    <s v="Other"/>
    <n v="63"/>
    <s v="Hernandezbury"/>
    <s v="South"/>
    <s v="Laptop"/>
    <n v="3"/>
    <n v="1597.71"/>
    <n v="4793.13"/>
    <n v="39.409999999999997"/>
    <d v="2024-06-02T00:00:00"/>
    <x v="24"/>
  </r>
  <r>
    <s v="CUST1269"/>
    <s v="Melody Lee"/>
    <s v="Female"/>
    <n v="68"/>
    <s v="Edwardsberg"/>
    <s v="North"/>
    <s v="Tablet"/>
    <n v="3"/>
    <n v="511.64"/>
    <n v="1534.92"/>
    <n v="22.16"/>
    <d v="2025-03-25T00:00:00"/>
    <x v="22"/>
  </r>
  <r>
    <s v="CUST1270"/>
    <s v="Jennifer Hampton"/>
    <s v="Other"/>
    <n v="41"/>
    <s v="Salaston"/>
    <s v="South"/>
    <s v="Smartwatch"/>
    <n v="8"/>
    <n v="1617.14"/>
    <n v="12937.12"/>
    <n v="35.369999999999997"/>
    <d v="2025-11-08T00:00:00"/>
    <x v="6"/>
  </r>
  <r>
    <s v="CUST1271"/>
    <s v="Daniel Nguyen"/>
    <s v="Other"/>
    <n v="22"/>
    <s v="Foxmouth"/>
    <s v="West"/>
    <s v="Smartwatch"/>
    <n v="5"/>
    <n v="826.41"/>
    <n v="4132.05"/>
    <n v="16.43"/>
    <d v="2024-09-20T00:00:00"/>
    <x v="7"/>
  </r>
  <r>
    <s v="CUST1272"/>
    <s v="Joseph Payne"/>
    <s v="Female"/>
    <n v="44"/>
    <s v="Chelseaborough"/>
    <s v="North"/>
    <s v="Headphones"/>
    <n v="10"/>
    <n v="193.81"/>
    <n v="1938.1"/>
    <n v="18.63"/>
    <d v="2024-11-16T00:00:00"/>
    <x v="10"/>
  </r>
  <r>
    <s v="CUST1273"/>
    <s v="Edwin David"/>
    <s v="Other"/>
    <n v="51"/>
    <s v="Kellieborough"/>
    <s v="South"/>
    <s v="Mobile"/>
    <n v="6"/>
    <n v="300.25"/>
    <n v="1801.5"/>
    <n v="17.3"/>
    <d v="2025-10-27T00:00:00"/>
    <x v="0"/>
  </r>
  <r>
    <s v="CUST1274"/>
    <s v="Emily Bailey"/>
    <s v="Female"/>
    <n v="21"/>
    <s v="Keithshire"/>
    <s v="South"/>
    <s v="Mobile"/>
    <n v="2"/>
    <n v="1060.3"/>
    <n v="2120.6"/>
    <n v="12.91"/>
    <d v="2025-10-16T00:00:00"/>
    <x v="0"/>
  </r>
  <r>
    <s v="CUST1275"/>
    <s v="Stephanie Foster"/>
    <s v="Other"/>
    <n v="63"/>
    <s v="Stephanieberg"/>
    <s v="East"/>
    <s v="Laptop"/>
    <n v="4"/>
    <n v="724.75"/>
    <n v="2899"/>
    <n v="10.02"/>
    <d v="2024-12-20T00:00:00"/>
    <x v="2"/>
  </r>
  <r>
    <s v="CUST1276"/>
    <s v="Tyler Miller"/>
    <s v="Other"/>
    <n v="58"/>
    <s v="Douglasfort"/>
    <s v="East"/>
    <s v="Smartwatch"/>
    <n v="9"/>
    <n v="585.17999999999995"/>
    <n v="5266.62"/>
    <n v="21.34"/>
    <d v="2024-10-22T00:00:00"/>
    <x v="3"/>
  </r>
  <r>
    <s v="CUST1277"/>
    <s v="Joshua Fitzpatrick"/>
    <s v="Other"/>
    <n v="50"/>
    <s v="Derrickshire"/>
    <s v="South"/>
    <s v="Mobile"/>
    <n v="3"/>
    <n v="1204.03"/>
    <n v="3612.09"/>
    <n v="26.35"/>
    <d v="2024-11-10T00:00:00"/>
    <x v="10"/>
  </r>
  <r>
    <s v="CUST1278"/>
    <s v="Michael Schmidt"/>
    <s v="Other"/>
    <n v="64"/>
    <s v="North Craig"/>
    <s v="North"/>
    <s v="Laptop"/>
    <n v="10"/>
    <n v="708.36"/>
    <n v="7083.6"/>
    <n v="3.25"/>
    <d v="2025-01-20T00:00:00"/>
    <x v="23"/>
  </r>
  <r>
    <s v="CUST1279"/>
    <s v="Ashlee Townsend"/>
    <s v="Male"/>
    <n v="59"/>
    <s v="New Tiffanyburgh"/>
    <s v="West"/>
    <s v="Smartwatch"/>
    <n v="10"/>
    <n v="566.08000000000004"/>
    <n v="5660.8"/>
    <n v="25.56"/>
    <d v="2025-03-21T00:00:00"/>
    <x v="22"/>
  </r>
  <r>
    <s v="CUST1280"/>
    <s v="Shirley Alvarez"/>
    <s v="Female"/>
    <n v="49"/>
    <s v="Port Tamara"/>
    <s v="West"/>
    <s v="Mobile"/>
    <n v="9"/>
    <n v="614.86"/>
    <n v="5533.74"/>
    <n v="32.19"/>
    <d v="2025-01-13T00:00:00"/>
    <x v="23"/>
  </r>
  <r>
    <s v="CUST1281"/>
    <s v="Anthony Mack"/>
    <s v="Male"/>
    <n v="61"/>
    <s v="New Joanne"/>
    <s v="North"/>
    <s v="Mobile"/>
    <n v="7"/>
    <n v="630"/>
    <n v="4410"/>
    <n v="17.579999999999998"/>
    <d v="2026-02-28T00:00:00"/>
    <x v="5"/>
  </r>
  <r>
    <s v="CUST1282"/>
    <s v="Susan Thompson"/>
    <s v="Other"/>
    <n v="48"/>
    <s v="North Wendy"/>
    <s v="South"/>
    <s v="Tablet"/>
    <n v="8"/>
    <n v="447.84"/>
    <n v="3582.72"/>
    <n v="34.46"/>
    <d v="2025-03-13T00:00:00"/>
    <x v="22"/>
  </r>
  <r>
    <s v="CUST1283"/>
    <s v="Charlotte Curry"/>
    <s v="Male"/>
    <n v="38"/>
    <s v="Nancytown"/>
    <s v="East"/>
    <s v="Smartwatch"/>
    <n v="6"/>
    <n v="1951.98"/>
    <n v="11711.88"/>
    <n v="22.47"/>
    <d v="2024-12-26T00:00:00"/>
    <x v="2"/>
  </r>
  <r>
    <s v="CUST1284"/>
    <s v="Ashley Bird"/>
    <s v="Female"/>
    <n v="38"/>
    <s v="Shawnside"/>
    <s v="West"/>
    <s v="Mobile"/>
    <n v="4"/>
    <n v="959.62"/>
    <n v="3838.48"/>
    <n v="5.64"/>
    <d v="2025-06-20T00:00:00"/>
    <x v="1"/>
  </r>
  <r>
    <s v="CUST1285"/>
    <s v="Todd Rosales MD"/>
    <s v="Other"/>
    <n v="21"/>
    <s v="Port Daniel"/>
    <s v="West"/>
    <s v="Mobile"/>
    <n v="5"/>
    <n v="1893.5"/>
    <n v="9467.5"/>
    <n v="38.51"/>
    <d v="2024-09-12T00:00:00"/>
    <x v="7"/>
  </r>
  <r>
    <s v="CUST1286"/>
    <s v="Mariah Higgins"/>
    <s v="Other"/>
    <n v="28"/>
    <s v="Lake Matthewport"/>
    <s v="East"/>
    <s v="Mobile"/>
    <n v="6"/>
    <n v="1870.82"/>
    <n v="11224.92"/>
    <n v="30.52"/>
    <d v="2025-07-24T00:00:00"/>
    <x v="20"/>
  </r>
  <r>
    <s v="CUST1287"/>
    <s v="Cheryl Carr"/>
    <s v="Female"/>
    <n v="49"/>
    <s v="Wilcoxhaven"/>
    <s v="West"/>
    <s v="Laptop"/>
    <n v="9"/>
    <n v="960.29"/>
    <n v="8642.61"/>
    <n v="3.6"/>
    <d v="2025-01-18T00:00:00"/>
    <x v="23"/>
  </r>
  <r>
    <s v="CUST1288"/>
    <s v="Michael Lopez"/>
    <s v="Male"/>
    <n v="43"/>
    <s v="South Marcus"/>
    <s v="South"/>
    <s v="Smartwatch"/>
    <n v="9"/>
    <n v="941.6"/>
    <n v="8474.4"/>
    <n v="14.12"/>
    <d v="2024-11-17T00:00:00"/>
    <x v="10"/>
  </r>
  <r>
    <s v="CUST1289"/>
    <s v="James Griffin"/>
    <s v="Other"/>
    <n v="21"/>
    <s v="Stephanieport"/>
    <s v="West"/>
    <s v="Tablet"/>
    <n v="5"/>
    <n v="1015.04"/>
    <n v="5075.2"/>
    <n v="21.47"/>
    <d v="2025-08-04T00:00:00"/>
    <x v="11"/>
  </r>
  <r>
    <s v="CUSTX001"/>
    <s v="Alexandra Valdez"/>
    <s v="Male"/>
    <n v="-5"/>
    <s v="North Elizabeth"/>
    <s v="North"/>
    <s v="Laptop"/>
    <n v="2"/>
    <n v="1200"/>
    <n v="2400"/>
    <n v="10"/>
    <d v="2001-09-02T00:00:00"/>
    <x v="25"/>
  </r>
  <r>
    <s v="CUSTX002"/>
    <s v="Jared Shaw"/>
    <s v="Female"/>
    <n v="200"/>
    <s v="Hannahport"/>
    <s v="South"/>
    <s v="Tablet"/>
    <n v="-3"/>
    <n v="500"/>
    <n v="-1500"/>
    <n v="5"/>
    <d v="1995-01-05T00:00:00"/>
    <x v="26"/>
  </r>
  <r>
    <s v="CUSTX003"/>
    <s v="Colleen Anderson"/>
    <s v="Other"/>
    <n v="30"/>
    <s v="South Julie"/>
    <s v="West"/>
    <s v="Camera"/>
    <n v="1"/>
    <m/>
    <n v="1000"/>
    <n v="110"/>
    <d v="2011-03-22T00:00:00"/>
    <x v="27"/>
  </r>
  <r>
    <s v="CUSTX004"/>
    <s v="Michael Durham"/>
    <s v="Female"/>
    <m/>
    <s v="Port John"/>
    <s v="East"/>
    <s v="Mobile"/>
    <n v="4"/>
    <n v="800"/>
    <n v="3200"/>
    <n v="-15"/>
    <d v="2021-05-12T00:00:00"/>
    <x v="28"/>
  </r>
  <r>
    <s v="CUSTX005"/>
    <s v="Rachel Fox"/>
    <s v="Male"/>
    <n v="45"/>
    <s v="Christianshire"/>
    <s v="North"/>
    <s v="Smartwatch"/>
    <n v="9999"/>
    <n v="0"/>
    <n v="0"/>
    <n v="50"/>
    <d v="1977-08-20T00:00:00"/>
    <x v="29"/>
  </r>
  <r>
    <m/>
    <m/>
    <m/>
    <m/>
    <m/>
    <m/>
    <m/>
    <m/>
    <m/>
    <m/>
    <m/>
    <m/>
    <x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s v="Games"/>
    <n v="25.9"/>
    <n v="27"/>
    <n v="103.99"/>
    <n v="699.3"/>
    <n v="8"/>
    <n v="3"/>
    <n v="4"/>
    <x v="0"/>
    <s v="Yes"/>
    <s v="System performance is good"/>
    <n v="5"/>
    <s v="LOW"/>
  </r>
  <r>
    <x v="0"/>
    <s v="Movies"/>
    <n v="38.200000000000003"/>
    <n v="7"/>
    <n v="91.62"/>
    <n v="267.39999999999998"/>
    <n v="8"/>
    <n v="3"/>
    <n v="4"/>
    <x v="0"/>
    <s v="Yes"/>
    <s v="System performance is good"/>
    <n v="5"/>
    <s v="LOW"/>
  </r>
  <r>
    <x v="0"/>
    <s v="Productivity"/>
    <n v="34.49"/>
    <n v="29"/>
    <n v="23.27"/>
    <n v="1000.21"/>
    <n v="8"/>
    <n v="3"/>
    <n v="4"/>
    <x v="0"/>
    <s v="Yes"/>
    <s v="System performance is good"/>
    <n v="5"/>
    <s v="LOW"/>
  </r>
  <r>
    <x v="0"/>
    <s v="E-Books"/>
    <n v="21.12"/>
    <n v="45"/>
    <n v="79.94"/>
    <n v="950.4"/>
    <n v="8"/>
    <n v="3"/>
    <n v="4"/>
    <x v="0"/>
    <s v="Yes"/>
    <s v="System performance is good"/>
    <n v="5"/>
    <s v="LOW"/>
  </r>
  <r>
    <x v="0"/>
    <s v="Internet Browser"/>
    <n v="52.39"/>
    <n v="41"/>
    <n v="35.19"/>
    <n v="2147.9899999999998"/>
    <n v="8"/>
    <n v="3"/>
    <n v="4"/>
    <x v="0"/>
    <s v="Yes"/>
    <s v="System performance is good"/>
    <n v="5"/>
    <s v="LOW"/>
  </r>
  <r>
    <x v="0"/>
    <s v="Security Tools"/>
    <n v="8.83"/>
    <n v="47"/>
    <n v="38.93"/>
    <n v="415.01"/>
    <n v="8"/>
    <n v="3"/>
    <n v="4"/>
    <x v="0"/>
    <s v="Yes"/>
    <s v="System performance is good"/>
    <n v="5"/>
    <s v="LOW"/>
  </r>
  <r>
    <x v="1"/>
    <s v="Games"/>
    <n v="20.92"/>
    <n v="10"/>
    <n v="104.81"/>
    <n v="209.2"/>
    <n v="10"/>
    <n v="9"/>
    <n v="1"/>
    <x v="1"/>
    <s v="No"/>
    <s v="System performance is good"/>
    <n v="6.67"/>
    <s v="MEDIUM"/>
  </r>
  <r>
    <x v="1"/>
    <s v="Movies"/>
    <n v="52.66"/>
    <n v="29"/>
    <n v="44.19"/>
    <n v="1527.14"/>
    <n v="10"/>
    <n v="9"/>
    <n v="1"/>
    <x v="1"/>
    <s v="No"/>
    <s v="System performance is good"/>
    <n v="6.67"/>
    <s v="MEDIUM"/>
  </r>
  <r>
    <x v="1"/>
    <s v="Productivity"/>
    <n v="39.96"/>
    <n v="28"/>
    <n v="32.08"/>
    <n v="1118.8800000000001"/>
    <n v="10"/>
    <n v="9"/>
    <n v="1"/>
    <x v="1"/>
    <s v="No"/>
    <s v="System performance is good"/>
    <n v="6.67"/>
    <s v="MEDIUM"/>
  </r>
  <r>
    <x v="1"/>
    <s v="E-Books"/>
    <n v="24.54"/>
    <n v="47"/>
    <n v="43.03"/>
    <n v="1153.3800000000001"/>
    <n v="10"/>
    <n v="9"/>
    <n v="1"/>
    <x v="1"/>
    <s v="No"/>
    <s v="System performance is good"/>
    <n v="6.67"/>
    <s v="MEDIUM"/>
  </r>
  <r>
    <x v="1"/>
    <s v="Internet Browser"/>
    <n v="56.52"/>
    <n v="46"/>
    <n v="22.5"/>
    <n v="2599.92"/>
    <n v="10"/>
    <n v="9"/>
    <n v="1"/>
    <x v="1"/>
    <s v="No"/>
    <s v="System performance is good"/>
    <n v="6.67"/>
    <s v="MEDIUM"/>
  </r>
  <r>
    <x v="1"/>
    <s v="Security Tools"/>
    <n v="39.92"/>
    <n v="39"/>
    <n v="91.56"/>
    <n v="1556.88"/>
    <n v="10"/>
    <n v="9"/>
    <n v="1"/>
    <x v="1"/>
    <s v="No"/>
    <s v="System performance is good"/>
    <n v="6.67"/>
    <s v="MEDIUM"/>
  </r>
  <r>
    <x v="2"/>
    <s v="Games"/>
    <n v="13.99"/>
    <n v="29"/>
    <n v="43.34"/>
    <n v="405.71"/>
    <n v="1"/>
    <n v="10"/>
    <n v="8"/>
    <x v="2"/>
    <s v="Yes"/>
    <s v="System performance is good"/>
    <n v="6.33"/>
    <s v="MEDIUM"/>
  </r>
  <r>
    <x v="2"/>
    <s v="Movies"/>
    <n v="55.9"/>
    <n v="49"/>
    <n v="73.48"/>
    <n v="2739.1"/>
    <n v="1"/>
    <n v="10"/>
    <n v="8"/>
    <x v="2"/>
    <s v="Yes"/>
    <s v="System performance is good"/>
    <n v="6.33"/>
    <s v="MEDIUM"/>
  </r>
  <r>
    <x v="2"/>
    <s v="Productivity"/>
    <n v="42.65"/>
    <n v="8"/>
    <n v="39.049999999999997"/>
    <n v="341.2"/>
    <n v="1"/>
    <n v="10"/>
    <n v="8"/>
    <x v="2"/>
    <s v="Yes"/>
    <s v="System performance is good"/>
    <n v="6.33"/>
    <s v="MEDIUM"/>
  </r>
  <r>
    <x v="2"/>
    <s v="E-Books"/>
    <n v="6.77"/>
    <n v="25"/>
    <n v="57.12"/>
    <n v="169.25"/>
    <n v="1"/>
    <n v="10"/>
    <n v="8"/>
    <x v="2"/>
    <s v="Yes"/>
    <s v="System performance is good"/>
    <n v="6.33"/>
    <s v="MEDIUM"/>
  </r>
  <r>
    <x v="2"/>
    <s v="Internet Browser"/>
    <n v="8.64"/>
    <n v="41"/>
    <n v="107.02"/>
    <n v="354.24"/>
    <n v="1"/>
    <n v="10"/>
    <n v="8"/>
    <x v="2"/>
    <s v="Yes"/>
    <s v="System performance is good"/>
    <n v="6.33"/>
    <s v="MEDIUM"/>
  </r>
  <r>
    <x v="2"/>
    <s v="Security Tools"/>
    <n v="22.31"/>
    <n v="46"/>
    <n v="67.42"/>
    <n v="1026.26"/>
    <n v="1"/>
    <n v="10"/>
    <n v="8"/>
    <x v="2"/>
    <s v="Yes"/>
    <s v="System performance is good"/>
    <n v="6.33"/>
    <s v="MEDIUM"/>
  </r>
  <r>
    <x v="3"/>
    <s v="Games"/>
    <n v="53.66"/>
    <n v="46"/>
    <n v="63.18"/>
    <n v="2468.36"/>
    <n v="9"/>
    <n v="2"/>
    <n v="3"/>
    <x v="3"/>
    <s v="Yes"/>
    <s v="Games are highly engaging"/>
    <n v="4.67"/>
    <s v="LOW"/>
  </r>
  <r>
    <x v="3"/>
    <s v="Movies"/>
    <n v="19.57"/>
    <n v="20"/>
    <n v="93.22"/>
    <n v="391.4"/>
    <n v="9"/>
    <n v="2"/>
    <n v="3"/>
    <x v="3"/>
    <s v="Yes"/>
    <s v="Games are highly engaging"/>
    <n v="4.67"/>
    <s v="LOW"/>
  </r>
  <r>
    <x v="3"/>
    <s v="Productivity"/>
    <n v="34.64"/>
    <n v="42"/>
    <n v="59.99"/>
    <n v="1454.88"/>
    <n v="9"/>
    <n v="2"/>
    <n v="3"/>
    <x v="3"/>
    <s v="Yes"/>
    <s v="Games are highly engaging"/>
    <n v="4.67"/>
    <s v="LOW"/>
  </r>
  <r>
    <x v="3"/>
    <s v="E-Books"/>
    <n v="37.090000000000003"/>
    <n v="28"/>
    <n v="38.03"/>
    <n v="1038.52"/>
    <n v="9"/>
    <n v="2"/>
    <n v="3"/>
    <x v="3"/>
    <s v="Yes"/>
    <s v="Games are highly engaging"/>
    <n v="4.67"/>
    <s v="LOW"/>
  </r>
  <r>
    <x v="3"/>
    <s v="Internet Browser"/>
    <n v="59.86"/>
    <n v="37"/>
    <n v="66.819999999999993"/>
    <n v="2214.8200000000002"/>
    <n v="9"/>
    <n v="2"/>
    <n v="3"/>
    <x v="3"/>
    <s v="Yes"/>
    <s v="Games are highly engaging"/>
    <n v="4.67"/>
    <s v="LOW"/>
  </r>
  <r>
    <x v="3"/>
    <s v="Security Tools"/>
    <n v="46.57"/>
    <n v="12"/>
    <n v="31.05"/>
    <n v="558.84"/>
    <n v="9"/>
    <n v="2"/>
    <n v="3"/>
    <x v="3"/>
    <s v="Yes"/>
    <s v="Games are highly engaging"/>
    <n v="4.67"/>
    <s v="LOW"/>
  </r>
  <r>
    <x v="4"/>
    <s v="Games"/>
    <n v="13.8"/>
    <n v="48"/>
    <n v="59.33"/>
    <n v="662.4"/>
    <n v="7"/>
    <n v="2"/>
    <n v="10"/>
    <x v="4"/>
    <s v="Yes"/>
    <s v="Very useful for study and work"/>
    <n v="6.33"/>
    <s v="MEDIUM"/>
  </r>
  <r>
    <x v="4"/>
    <s v="Movies"/>
    <n v="8.49"/>
    <n v="29"/>
    <n v="77.569999999999993"/>
    <n v="246.21"/>
    <n v="7"/>
    <n v="2"/>
    <n v="10"/>
    <x v="4"/>
    <s v="Yes"/>
    <s v="Very useful for study and work"/>
    <n v="6.33"/>
    <s v="MEDIUM"/>
  </r>
  <r>
    <x v="4"/>
    <s v="Productivity"/>
    <n v="30.74"/>
    <n v="21"/>
    <n v="116.96"/>
    <n v="645.54"/>
    <n v="7"/>
    <n v="2"/>
    <n v="10"/>
    <x v="4"/>
    <s v="Yes"/>
    <s v="Very useful for study and work"/>
    <n v="6.33"/>
    <s v="MEDIUM"/>
  </r>
  <r>
    <x v="4"/>
    <s v="E-Books"/>
    <n v="52.34"/>
    <n v="5"/>
    <n v="86.43"/>
    <n v="261.7"/>
    <n v="7"/>
    <n v="2"/>
    <n v="10"/>
    <x v="4"/>
    <s v="Yes"/>
    <s v="Very useful for study and work"/>
    <n v="6.33"/>
    <s v="MEDIUM"/>
  </r>
  <r>
    <x v="4"/>
    <s v="Internet Browser"/>
    <n v="11.3"/>
    <n v="39"/>
    <n v="93.84"/>
    <n v="440.7"/>
    <n v="7"/>
    <n v="2"/>
    <n v="10"/>
    <x v="4"/>
    <s v="Yes"/>
    <s v="Very useful for study and work"/>
    <n v="6.33"/>
    <s v="MEDIUM"/>
  </r>
  <r>
    <x v="4"/>
    <s v="Security Tools"/>
    <n v="47.27"/>
    <n v="26"/>
    <n v="26.71"/>
    <n v="1229.02"/>
    <n v="7"/>
    <n v="2"/>
    <n v="10"/>
    <x v="4"/>
    <s v="Yes"/>
    <s v="Very useful for study and work"/>
    <n v="6.33"/>
    <s v="MEDIUM"/>
  </r>
  <r>
    <x v="5"/>
    <s v="Games"/>
    <n v="28.91"/>
    <n v="34"/>
    <n v="15.34"/>
    <n v="982.94"/>
    <n v="2"/>
    <n v="7"/>
    <n v="10"/>
    <x v="2"/>
    <s v="No"/>
    <s v="Need better security tools"/>
    <n v="6.33"/>
    <s v="MEDIUM"/>
  </r>
  <r>
    <x v="5"/>
    <s v="Movies"/>
    <n v="44.72"/>
    <n v="21"/>
    <n v="117.05"/>
    <n v="939.12"/>
    <n v="2"/>
    <n v="7"/>
    <n v="10"/>
    <x v="2"/>
    <s v="No"/>
    <s v="Need better security tools"/>
    <n v="6.33"/>
    <s v="MEDIUM"/>
  </r>
  <r>
    <x v="5"/>
    <s v="Productivity"/>
    <n v="46.91"/>
    <n v="37"/>
    <n v="110.83"/>
    <n v="1735.67"/>
    <n v="2"/>
    <n v="7"/>
    <n v="10"/>
    <x v="2"/>
    <s v="No"/>
    <s v="Need better security tools"/>
    <n v="6.33"/>
    <s v="MEDIUM"/>
  </r>
  <r>
    <x v="5"/>
    <s v="E-Books"/>
    <n v="52.88"/>
    <n v="24"/>
    <n v="103.38"/>
    <n v="1269.1199999999999"/>
    <n v="2"/>
    <n v="7"/>
    <n v="10"/>
    <x v="2"/>
    <s v="No"/>
    <s v="Need better security tools"/>
    <n v="6.33"/>
    <s v="MEDIUM"/>
  </r>
  <r>
    <x v="5"/>
    <s v="Internet Browser"/>
    <n v="32.92"/>
    <n v="17"/>
    <n v="31.05"/>
    <n v="559.64"/>
    <n v="2"/>
    <n v="7"/>
    <n v="10"/>
    <x v="2"/>
    <s v="No"/>
    <s v="Need better security tools"/>
    <n v="6.33"/>
    <s v="MEDIUM"/>
  </r>
  <r>
    <x v="5"/>
    <s v="Security Tools"/>
    <n v="46.94"/>
    <n v="39"/>
    <n v="115.12"/>
    <n v="1830.66"/>
    <n v="2"/>
    <n v="7"/>
    <n v="10"/>
    <x v="2"/>
    <s v="No"/>
    <s v="Need better security tools"/>
    <n v="6.33"/>
    <s v="MEDIUM"/>
  </r>
  <r>
    <x v="6"/>
    <s v="Games"/>
    <n v="55.73"/>
    <n v="5"/>
    <n v="77.89"/>
    <n v="278.64999999999998"/>
    <n v="4"/>
    <n v="6"/>
    <n v="4"/>
    <x v="0"/>
    <s v="No"/>
    <s v="Games are highly engaging"/>
    <n v="4.67"/>
    <s v="LOW"/>
  </r>
  <r>
    <x v="6"/>
    <s v="Movies"/>
    <n v="31.87"/>
    <n v="12"/>
    <n v="112.56"/>
    <n v="382.44"/>
    <n v="4"/>
    <n v="6"/>
    <n v="4"/>
    <x v="0"/>
    <s v="No"/>
    <s v="Games are highly engaging"/>
    <n v="4.67"/>
    <s v="LOW"/>
  </r>
  <r>
    <x v="6"/>
    <s v="Productivity"/>
    <n v="53.33"/>
    <n v="24"/>
    <n v="40.14"/>
    <n v="1279.92"/>
    <n v="4"/>
    <n v="6"/>
    <n v="4"/>
    <x v="0"/>
    <s v="No"/>
    <s v="Games are highly engaging"/>
    <n v="4.67"/>
    <s v="LOW"/>
  </r>
  <r>
    <x v="6"/>
    <s v="E-Books"/>
    <n v="18.25"/>
    <n v="41"/>
    <n v="114.43"/>
    <n v="748.25"/>
    <n v="4"/>
    <n v="6"/>
    <n v="4"/>
    <x v="0"/>
    <s v="No"/>
    <s v="Games are highly engaging"/>
    <n v="4.67"/>
    <s v="LOW"/>
  </r>
  <r>
    <x v="6"/>
    <s v="Internet Browser"/>
    <n v="9.7100000000000009"/>
    <n v="36"/>
    <n v="100.68"/>
    <n v="349.56"/>
    <n v="4"/>
    <n v="6"/>
    <n v="4"/>
    <x v="0"/>
    <s v="No"/>
    <s v="Games are highly engaging"/>
    <n v="4.67"/>
    <s v="LOW"/>
  </r>
  <r>
    <x v="6"/>
    <s v="Security Tools"/>
    <n v="58.79"/>
    <n v="39"/>
    <n v="95.41"/>
    <n v="2292.81"/>
    <n v="4"/>
    <n v="6"/>
    <n v="4"/>
    <x v="0"/>
    <s v="No"/>
    <s v="Games are highly engaging"/>
    <n v="4.67"/>
    <s v="LOW"/>
  </r>
  <r>
    <x v="7"/>
    <s v="Games"/>
    <n v="12.06"/>
    <n v="35"/>
    <n v="114.42"/>
    <n v="422.1"/>
    <n v="5"/>
    <n v="8"/>
    <n v="6"/>
    <x v="3"/>
    <s v="Yes"/>
    <s v="Browser performance could improve"/>
    <n v="6.33"/>
    <s v="MEDIUM"/>
  </r>
  <r>
    <x v="7"/>
    <s v="Movies"/>
    <n v="14.08"/>
    <n v="38"/>
    <n v="106.61"/>
    <n v="535.04"/>
    <n v="5"/>
    <n v="8"/>
    <n v="6"/>
    <x v="3"/>
    <s v="Yes"/>
    <s v="Browser performance could improve"/>
    <n v="6.33"/>
    <s v="MEDIUM"/>
  </r>
  <r>
    <x v="7"/>
    <s v="Productivity"/>
    <n v="28.27"/>
    <n v="18"/>
    <n v="112.54"/>
    <n v="508.86"/>
    <n v="5"/>
    <n v="8"/>
    <n v="6"/>
    <x v="3"/>
    <s v="Yes"/>
    <s v="Browser performance could improve"/>
    <n v="6.33"/>
    <s v="MEDIUM"/>
  </r>
  <r>
    <x v="7"/>
    <s v="E-Books"/>
    <n v="46.54"/>
    <n v="49"/>
    <n v="36.119999999999997"/>
    <n v="2280.46"/>
    <n v="5"/>
    <n v="8"/>
    <n v="6"/>
    <x v="3"/>
    <s v="Yes"/>
    <s v="Browser performance could improve"/>
    <n v="6.33"/>
    <s v="MEDIUM"/>
  </r>
  <r>
    <x v="7"/>
    <s v="Internet Browser"/>
    <n v="22.14"/>
    <n v="47"/>
    <n v="83.24"/>
    <n v="1040.58"/>
    <n v="5"/>
    <n v="8"/>
    <n v="6"/>
    <x v="3"/>
    <s v="Yes"/>
    <s v="Browser performance could improve"/>
    <n v="6.33"/>
    <s v="MEDIUM"/>
  </r>
  <r>
    <x v="7"/>
    <s v="Security Tools"/>
    <n v="29.1"/>
    <n v="38"/>
    <n v="62.41"/>
    <n v="1105.8"/>
    <n v="5"/>
    <n v="8"/>
    <n v="6"/>
    <x v="3"/>
    <s v="Yes"/>
    <s v="Browser performance could improve"/>
    <n v="6.33"/>
    <s v="MEDIUM"/>
  </r>
  <r>
    <x v="8"/>
    <s v="Games"/>
    <n v="18.63"/>
    <n v="9"/>
    <n v="50.5"/>
    <n v="167.67"/>
    <n v="10"/>
    <n v="10"/>
    <n v="2"/>
    <x v="3"/>
    <s v="Yes"/>
    <s v="Very useful for study and work"/>
    <n v="7.33"/>
    <s v="MEDIUM"/>
  </r>
  <r>
    <x v="8"/>
    <s v="Movies"/>
    <n v="37.36"/>
    <n v="19"/>
    <n v="76.790000000000006"/>
    <n v="709.84"/>
    <n v="10"/>
    <n v="10"/>
    <n v="2"/>
    <x v="3"/>
    <s v="Yes"/>
    <s v="Very useful for study and work"/>
    <n v="7.33"/>
    <s v="MEDIUM"/>
  </r>
  <r>
    <x v="8"/>
    <s v="Productivity"/>
    <n v="5.4"/>
    <n v="50"/>
    <n v="81.27"/>
    <n v="270"/>
    <n v="10"/>
    <n v="10"/>
    <n v="2"/>
    <x v="3"/>
    <s v="Yes"/>
    <s v="Very useful for study and work"/>
    <n v="7.33"/>
    <s v="MEDIUM"/>
  </r>
  <r>
    <x v="8"/>
    <s v="E-Books"/>
    <n v="17.59"/>
    <n v="7"/>
    <n v="105.26"/>
    <n v="123.13"/>
    <n v="10"/>
    <n v="10"/>
    <n v="2"/>
    <x v="3"/>
    <s v="Yes"/>
    <s v="Very useful for study and work"/>
    <n v="7.33"/>
    <s v="MEDIUM"/>
  </r>
  <r>
    <x v="8"/>
    <s v="Internet Browser"/>
    <n v="8.9"/>
    <n v="20"/>
    <n v="44.24"/>
    <n v="178"/>
    <n v="10"/>
    <n v="10"/>
    <n v="2"/>
    <x v="3"/>
    <s v="Yes"/>
    <s v="Very useful for study and work"/>
    <n v="7.33"/>
    <s v="MEDIUM"/>
  </r>
  <r>
    <x v="8"/>
    <s v="Security Tools"/>
    <n v="31.7"/>
    <n v="39"/>
    <n v="28.89"/>
    <n v="1236.3"/>
    <n v="10"/>
    <n v="10"/>
    <n v="2"/>
    <x v="3"/>
    <s v="Yes"/>
    <s v="Very useful for study and work"/>
    <n v="7.33"/>
    <s v="MEDIUM"/>
  </r>
  <r>
    <x v="9"/>
    <s v="Games"/>
    <n v="56.45"/>
    <n v="41"/>
    <n v="75.5"/>
    <n v="2314.4499999999998"/>
    <n v="5"/>
    <n v="3"/>
    <n v="6"/>
    <x v="3"/>
    <s v="Yes"/>
    <s v="Need better security tools"/>
    <n v="4.67"/>
    <s v="LOW"/>
  </r>
  <r>
    <x v="9"/>
    <s v="Movies"/>
    <n v="18.36"/>
    <n v="35"/>
    <n v="99.79"/>
    <n v="642.6"/>
    <n v="5"/>
    <n v="3"/>
    <n v="6"/>
    <x v="3"/>
    <s v="Yes"/>
    <s v="Need better security tools"/>
    <n v="4.67"/>
    <s v="LOW"/>
  </r>
  <r>
    <x v="9"/>
    <s v="Productivity"/>
    <n v="15.47"/>
    <n v="11"/>
    <n v="84.19"/>
    <n v="170.17"/>
    <n v="5"/>
    <n v="3"/>
    <n v="6"/>
    <x v="3"/>
    <s v="Yes"/>
    <s v="Need better security tools"/>
    <n v="4.67"/>
    <s v="LOW"/>
  </r>
  <r>
    <x v="9"/>
    <s v="E-Books"/>
    <n v="24.49"/>
    <n v="31"/>
    <n v="64.040000000000006"/>
    <n v="759.19"/>
    <n v="5"/>
    <n v="3"/>
    <n v="6"/>
    <x v="3"/>
    <s v="Yes"/>
    <s v="Need better security tools"/>
    <n v="4.67"/>
    <s v="LOW"/>
  </r>
  <r>
    <x v="9"/>
    <s v="Internet Browser"/>
    <n v="45.1"/>
    <n v="48"/>
    <n v="83.61"/>
    <n v="2164.8000000000002"/>
    <n v="5"/>
    <n v="3"/>
    <n v="6"/>
    <x v="3"/>
    <s v="Yes"/>
    <s v="Need better security tools"/>
    <n v="4.67"/>
    <s v="LOW"/>
  </r>
  <r>
    <x v="9"/>
    <s v="Security Tools"/>
    <n v="40.54"/>
    <n v="8"/>
    <n v="57.28"/>
    <n v="324.32"/>
    <n v="5"/>
    <n v="3"/>
    <n v="6"/>
    <x v="3"/>
    <s v="Yes"/>
    <s v="Need better security tools"/>
    <n v="4.67"/>
    <s v="LOW"/>
  </r>
  <r>
    <x v="10"/>
    <s v="Games"/>
    <n v="23.66"/>
    <n v="11"/>
    <n v="41.11"/>
    <n v="260.26"/>
    <n v="5"/>
    <n v="3"/>
    <n v="8"/>
    <x v="2"/>
    <s v="No"/>
    <s v="Very useful for study and work"/>
    <n v="5.33"/>
    <s v="MEDIUM"/>
  </r>
  <r>
    <x v="10"/>
    <s v="Movies"/>
    <n v="15.46"/>
    <n v="33"/>
    <n v="29.72"/>
    <n v="510.18"/>
    <n v="5"/>
    <n v="3"/>
    <n v="8"/>
    <x v="2"/>
    <s v="No"/>
    <s v="Very useful for study and work"/>
    <n v="5.33"/>
    <s v="MEDIUM"/>
  </r>
  <r>
    <x v="10"/>
    <s v="Productivity"/>
    <n v="15.09"/>
    <n v="34"/>
    <n v="41.23"/>
    <n v="513.05999999999995"/>
    <n v="5"/>
    <n v="3"/>
    <n v="8"/>
    <x v="2"/>
    <s v="No"/>
    <s v="Very useful for study and work"/>
    <n v="5.33"/>
    <s v="MEDIUM"/>
  </r>
  <r>
    <x v="10"/>
    <s v="E-Books"/>
    <n v="55.78"/>
    <n v="33"/>
    <n v="99.84"/>
    <n v="1840.74"/>
    <n v="5"/>
    <n v="3"/>
    <n v="8"/>
    <x v="2"/>
    <s v="No"/>
    <s v="Very useful for study and work"/>
    <n v="5.33"/>
    <s v="MEDIUM"/>
  </r>
  <r>
    <x v="10"/>
    <s v="Internet Browser"/>
    <n v="52.08"/>
    <n v="11"/>
    <n v="20.309999999999999"/>
    <n v="572.88"/>
    <n v="5"/>
    <n v="3"/>
    <n v="8"/>
    <x v="2"/>
    <s v="No"/>
    <s v="Very useful for study and work"/>
    <n v="5.33"/>
    <s v="MEDIUM"/>
  </r>
  <r>
    <x v="10"/>
    <s v="Security Tools"/>
    <n v="59.96"/>
    <n v="5"/>
    <n v="116.74"/>
    <n v="299.8"/>
    <n v="5"/>
    <n v="3"/>
    <n v="8"/>
    <x v="2"/>
    <s v="No"/>
    <s v="Very useful for study and work"/>
    <n v="5.33"/>
    <s v="MEDIUM"/>
  </r>
  <r>
    <x v="11"/>
    <s v="Games"/>
    <n v="55.95"/>
    <n v="20"/>
    <n v="32.46"/>
    <n v="1119"/>
    <n v="9"/>
    <n v="1"/>
    <n v="9"/>
    <x v="0"/>
    <s v="Yes"/>
    <s v="Games are highly engaging"/>
    <n v="6.33"/>
    <s v="MEDIUM"/>
  </r>
  <r>
    <x v="11"/>
    <s v="Movies"/>
    <n v="31.71"/>
    <n v="18"/>
    <n v="105.79"/>
    <n v="570.78"/>
    <n v="9"/>
    <n v="1"/>
    <n v="9"/>
    <x v="0"/>
    <s v="Yes"/>
    <s v="Games are highly engaging"/>
    <n v="6.33"/>
    <s v="MEDIUM"/>
  </r>
  <r>
    <x v="11"/>
    <s v="Productivity"/>
    <n v="54.63"/>
    <n v="15"/>
    <n v="54.79"/>
    <n v="819.45"/>
    <n v="9"/>
    <n v="1"/>
    <n v="9"/>
    <x v="0"/>
    <s v="Yes"/>
    <s v="Games are highly engaging"/>
    <n v="6.33"/>
    <s v="MEDIUM"/>
  </r>
  <r>
    <x v="11"/>
    <s v="E-Books"/>
    <n v="59.19"/>
    <n v="21"/>
    <n v="112.28"/>
    <n v="1242.99"/>
    <n v="9"/>
    <n v="1"/>
    <n v="9"/>
    <x v="0"/>
    <s v="Yes"/>
    <s v="Games are highly engaging"/>
    <n v="6.33"/>
    <s v="MEDIUM"/>
  </r>
  <r>
    <x v="11"/>
    <s v="Internet Browser"/>
    <n v="48.18"/>
    <n v="23"/>
    <n v="59.42"/>
    <n v="1108.1400000000001"/>
    <n v="9"/>
    <n v="1"/>
    <n v="9"/>
    <x v="0"/>
    <s v="Yes"/>
    <s v="Games are highly engaging"/>
    <n v="6.33"/>
    <s v="MEDIUM"/>
  </r>
  <r>
    <x v="11"/>
    <s v="Security Tools"/>
    <n v="57.65"/>
    <n v="40"/>
    <n v="84.5"/>
    <n v="2306"/>
    <n v="9"/>
    <n v="1"/>
    <n v="9"/>
    <x v="0"/>
    <s v="Yes"/>
    <s v="Games are highly engaging"/>
    <n v="6.33"/>
    <s v="MEDIU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C001"/>
    <x v="0"/>
    <x v="0"/>
  </r>
  <r>
    <s v="C002"/>
    <x v="0"/>
    <x v="0"/>
  </r>
  <r>
    <s v="C003"/>
    <x v="0"/>
    <x v="0"/>
  </r>
  <r>
    <s v="C004"/>
    <x v="0"/>
    <x v="0"/>
  </r>
  <r>
    <s v="C005"/>
    <x v="0"/>
    <x v="0"/>
  </r>
  <r>
    <s v="C006"/>
    <x v="0"/>
    <x v="0"/>
  </r>
  <r>
    <s v="C007"/>
    <x v="0"/>
    <x v="0"/>
  </r>
  <r>
    <s v="C008"/>
    <x v="0"/>
    <x v="0"/>
  </r>
  <r>
    <s v="C009"/>
    <x v="0"/>
    <x v="1"/>
  </r>
  <r>
    <s v="C010"/>
    <x v="0"/>
    <x v="2"/>
  </r>
  <r>
    <s v="C011"/>
    <x v="1"/>
    <x v="0"/>
  </r>
  <r>
    <s v="C012"/>
    <x v="1"/>
    <x v="0"/>
  </r>
  <r>
    <s v="C013"/>
    <x v="1"/>
    <x v="0"/>
  </r>
  <r>
    <s v="C014"/>
    <x v="1"/>
    <x v="0"/>
  </r>
  <r>
    <s v="C015"/>
    <x v="1"/>
    <x v="1"/>
  </r>
  <r>
    <s v="C016"/>
    <x v="1"/>
    <x v="1"/>
  </r>
  <r>
    <s v="C017"/>
    <x v="1"/>
    <x v="1"/>
  </r>
  <r>
    <s v="C018"/>
    <x v="1"/>
    <x v="1"/>
  </r>
  <r>
    <s v="C019"/>
    <x v="1"/>
    <x v="2"/>
  </r>
  <r>
    <s v="C020"/>
    <x v="1"/>
    <x v="2"/>
  </r>
  <r>
    <s v="C021"/>
    <x v="2"/>
    <x v="0"/>
  </r>
  <r>
    <s v="C022"/>
    <x v="2"/>
    <x v="0"/>
  </r>
  <r>
    <s v="C023"/>
    <x v="2"/>
    <x v="0"/>
  </r>
  <r>
    <s v="C024"/>
    <x v="2"/>
    <x v="1"/>
  </r>
  <r>
    <s v="C025"/>
    <x v="2"/>
    <x v="1"/>
  </r>
  <r>
    <s v="C026"/>
    <x v="2"/>
    <x v="2"/>
  </r>
  <r>
    <s v="C027"/>
    <x v="2"/>
    <x v="2"/>
  </r>
  <r>
    <s v="C028"/>
    <x v="2"/>
    <x v="2"/>
  </r>
  <r>
    <s v="C029"/>
    <x v="2"/>
    <x v="2"/>
  </r>
  <r>
    <s v="C030"/>
    <x v="2"/>
    <x v="2"/>
  </r>
  <r>
    <m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1F7A8-56EB-4446-8A71-25FB9ADC32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3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2">
        <item x="29"/>
        <item x="26"/>
        <item x="25"/>
        <item x="27"/>
        <item x="28"/>
        <item x="17"/>
        <item x="24"/>
        <item x="14"/>
        <item x="12"/>
        <item x="7"/>
        <item x="3"/>
        <item x="10"/>
        <item x="2"/>
        <item x="23"/>
        <item x="21"/>
        <item x="22"/>
        <item x="13"/>
        <item x="15"/>
        <item x="1"/>
        <item x="20"/>
        <item x="11"/>
        <item x="16"/>
        <item x="0"/>
        <item x="6"/>
        <item x="8"/>
        <item x="4"/>
        <item x="5"/>
        <item x="9"/>
        <item x="19"/>
        <item x="18"/>
        <item x="30"/>
        <item t="default"/>
      </items>
    </pivotField>
  </pivotFields>
  <rowFields count="1">
    <field x="12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Sales_Amount" fld="9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73A45-79FC-4856-BA36-051E3D4CEBE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47" firstHeaderRow="1" firstDataRow="1" firstDataCol="1"/>
  <pivotFields count="1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</pivotFields>
  <rowFields count="2">
    <field x="0"/>
    <field x="9"/>
  </rowFields>
  <rowItems count="25">
    <i>
      <x/>
    </i>
    <i r="1">
      <x v="3"/>
    </i>
    <i>
      <x v="1"/>
    </i>
    <i r="1">
      <x v="4"/>
    </i>
    <i>
      <x v="2"/>
    </i>
    <i r="1">
      <x v="1"/>
    </i>
    <i>
      <x v="3"/>
    </i>
    <i r="1">
      <x/>
    </i>
    <i>
      <x v="4"/>
    </i>
    <i r="1">
      <x v="2"/>
    </i>
    <i>
      <x v="5"/>
    </i>
    <i r="1">
      <x v="1"/>
    </i>
    <i>
      <x v="6"/>
    </i>
    <i r="1">
      <x v="3"/>
    </i>
    <i>
      <x v="7"/>
    </i>
    <i r="1">
      <x/>
    </i>
    <i>
      <x v="8"/>
    </i>
    <i r="1">
      <x/>
    </i>
    <i>
      <x v="9"/>
    </i>
    <i r="1">
      <x/>
    </i>
    <i>
      <x v="10"/>
    </i>
    <i r="1">
      <x v="1"/>
    </i>
    <i>
      <x v="11"/>
    </i>
    <i r="1">
      <x v="3"/>
    </i>
    <i t="grand">
      <x/>
    </i>
  </rowItems>
  <colItems count="1">
    <i/>
  </colItems>
  <dataFields count="1">
    <dataField name="Average of Total_Usage_Time_Hour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ECB52-C968-4D98-9720-F4CF5956826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16" firstHeaderRow="1" firstDataRow="1" firstDataCol="1"/>
  <pivotFields count="1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Overall_Rating" fld="12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0F96C-A2F7-4B7F-9E2F-4D9A5CBC5FE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L9" firstHeaderRow="1" firstDataRow="2" firstDataCol="1"/>
  <pivotFields count="3">
    <pivotField showAll="0"/>
    <pivotField axis="axisRow" showAll="0">
      <items count="5">
        <item x="1"/>
        <item x="0"/>
        <item x="2"/>
        <item x="3"/>
        <item t="default"/>
      </items>
    </pivotField>
    <pivotField axis="axisCol" dataField="1" showAll="0">
      <items count="5">
        <item x="2"/>
        <item x="1"/>
        <item x="0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atisfaction_Leve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ADDBF1-997E-4179-904B-C31DDBCEFA7B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Customer_ID" tableColumnId="1"/>
      <queryTableField id="2" name="Customer_Name" tableColumnId="2"/>
      <queryTableField id="3" name="Gender" tableColumnId="3"/>
      <queryTableField id="4" name="Age" tableColumnId="4"/>
      <queryTableField id="5" name="City" tableColumnId="5"/>
      <queryTableField id="6" name="Region" tableColumnId="6"/>
      <queryTableField id="7" name="Product" tableColumnId="7"/>
      <queryTableField id="8" name="Quantity" tableColumnId="8"/>
      <queryTableField id="9" name="Unit_Price" tableColumnId="9"/>
      <queryTableField id="10" name="Sales_Amount" tableColumnId="10"/>
      <queryTableField id="11" name="Discount_Percent" tableColumnId="11"/>
      <queryTableField id="12" name="Purchase_Date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3692FFF-57C8-4008-B4DB-80FFD09AEDE8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Family_ID" tableColumnId="1"/>
      <queryTableField id="2" name="Application" tableColumnId="2"/>
      <queryTableField id="3" name="Usage_Hours" tableColumnId="3"/>
      <queryTableField id="4" name="Login_Count" tableColumnId="4"/>
      <queryTableField id="5" name="Avg_Session_Time_Min" tableColumnId="5"/>
      <queryTableField id="6" name="Total_Usage_Time_Hours" tableColumnId="6"/>
      <queryTableField id="7" name="Feedback.Overall_Satisfaction_Rating" tableColumnId="7"/>
      <queryTableField id="8" name="Feedback.Performance_Rating" tableColumnId="8"/>
      <queryTableField id="9" name="Feedback.Ease_of_Use_Rating" tableColumnId="9"/>
      <queryTableField id="10" name="Feedback.Most_Used_Application" tableColumnId="10"/>
      <queryTableField id="11" name="Feedback.Would_Recommend" tableColumnId="11"/>
      <queryTableField id="12" name="Feedback.Comments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D747A4-7B34-4A6A-8A97-D445220C6665}" name="customer_demographic_sales_data" displayName="customer_demographic_sales_data" ref="A1:M296" tableType="queryTable" totalsRowShown="0">
  <autoFilter ref="A1:M296" xr:uid="{BBD747A4-7B34-4A6A-8A97-D445220C6665}"/>
  <tableColumns count="13">
    <tableColumn id="1" xr3:uid="{4E486E74-6FAF-43D2-BE68-0407F6FF3DAC}" uniqueName="1" name="Customer_ID" queryTableFieldId="1" dataDxfId="20"/>
    <tableColumn id="2" xr3:uid="{12623E0A-0A3A-4D7D-9CFB-FBDC76C86BB4}" uniqueName="2" name="Customer_Name" queryTableFieldId="2" dataDxfId="19"/>
    <tableColumn id="3" xr3:uid="{C0B1507B-9A5F-4FA1-8ECA-FA59F1FAD0D1}" uniqueName="3" name="Gender" queryTableFieldId="3" dataDxfId="18"/>
    <tableColumn id="4" xr3:uid="{BBB6176C-B6E1-4121-A471-85E2EDABCE44}" uniqueName="4" name="Age" queryTableFieldId="4"/>
    <tableColumn id="5" xr3:uid="{A829AAEE-4989-4F63-BE2F-79B2ECED4D85}" uniqueName="5" name="City" queryTableFieldId="5" dataDxfId="17"/>
    <tableColumn id="6" xr3:uid="{A219FF76-5479-43A4-B244-D6CA5CB204B2}" uniqueName="6" name="Region" queryTableFieldId="6" dataDxfId="16"/>
    <tableColumn id="7" xr3:uid="{97165A37-D6EB-4E69-A023-9BE69DA760DC}" uniqueName="7" name="Product" queryTableFieldId="7" dataDxfId="15"/>
    <tableColumn id="8" xr3:uid="{79EB75C8-B12B-468A-BD23-BFB2760EE3E1}" uniqueName="8" name="Quantity" queryTableFieldId="8"/>
    <tableColumn id="9" xr3:uid="{09C70638-B0AA-4701-B0B4-614AA24594A9}" uniqueName="9" name="Unit_Price" queryTableFieldId="9"/>
    <tableColumn id="10" xr3:uid="{A18FC241-3D62-42AD-9640-92B8D8847202}" uniqueName="10" name="Sales_Amount" queryTableFieldId="10"/>
    <tableColumn id="11" xr3:uid="{B993EE24-992B-4966-AAC4-0CE6327677EA}" uniqueName="11" name="Discount_Percent" queryTableFieldId="11"/>
    <tableColumn id="12" xr3:uid="{D16993A8-1867-415A-8237-4054AA13EC2D}" uniqueName="12" name="Purchase_Date" queryTableFieldId="12" dataDxfId="14"/>
    <tableColumn id="13" xr3:uid="{8DC3F4AB-ADFA-4049-BBF3-0FE8729680F1}" uniqueName="13" name="Purchase_Month" queryTableFieldId="13" dataDxfId="13">
      <calculatedColumnFormula>TEXT(customer_demographic_sales_data[[#This Row],[Purchase_Date]],"YYYY-MM")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C4C13C-A00F-47E7-895D-01C8AC159E5A}" name="Usage_Data_Feedback" displayName="Usage_Data_Feedback" ref="A1:N73" tableType="queryTable" totalsRowShown="0">
  <autoFilter ref="A1:N73" xr:uid="{D1C4C13C-A00F-47E7-895D-01C8AC159E5A}"/>
  <tableColumns count="14">
    <tableColumn id="1" xr3:uid="{A311A758-7B42-4FD4-B09F-68C59A530BE9}" uniqueName="1" name="Family_ID" queryTableFieldId="1" dataDxfId="12"/>
    <tableColumn id="2" xr3:uid="{02B1FF60-8B2F-4E3E-B8FC-2F082FBCA9B5}" uniqueName="2" name="Application" queryTableFieldId="2" dataDxfId="11"/>
    <tableColumn id="3" xr3:uid="{CC132047-4F46-442C-9202-40C434E00B16}" uniqueName="3" name="Usage_Hours" queryTableFieldId="3"/>
    <tableColumn id="4" xr3:uid="{5933DF20-1D10-4788-B176-7B22BD64839D}" uniqueName="4" name="Login_Count" queryTableFieldId="4"/>
    <tableColumn id="5" xr3:uid="{1BFD7336-EACE-4BDD-BA0F-0C1F9EFB77F7}" uniqueName="5" name="Avg_Session_Time_Min" queryTableFieldId="5"/>
    <tableColumn id="6" xr3:uid="{C9BDD611-3FE6-48D3-B491-4A23E6EE5DAC}" uniqueName="6" name="Total_Usage_Time_Hours" queryTableFieldId="6"/>
    <tableColumn id="7" xr3:uid="{D5D7D161-FC37-4DB6-949D-33C3DD886B44}" uniqueName="7" name="Feedback.Overall_Satisfaction_Rating" queryTableFieldId="7"/>
    <tableColumn id="8" xr3:uid="{C45E81D4-89AB-4885-9B1A-A69D48E61AA4}" uniqueName="8" name="Feedback.Performance_Rating" queryTableFieldId="8"/>
    <tableColumn id="9" xr3:uid="{9C6EF34A-DE6C-4D75-BBAE-739C93A489F6}" uniqueName="9" name="Feedback.Ease_of_Use_Rating" queryTableFieldId="9"/>
    <tableColumn id="10" xr3:uid="{F8C35564-BDBE-4EB1-BC57-1EC0C0F00E54}" uniqueName="10" name="Feedback.Most_Used_Application" queryTableFieldId="10" dataDxfId="10"/>
    <tableColumn id="11" xr3:uid="{3E073FF7-CD9A-42AA-84FF-0376ACCAAE2B}" uniqueName="11" name="Feedback.Would_Recommend" queryTableFieldId="11" dataDxfId="9"/>
    <tableColumn id="12" xr3:uid="{DC276827-D443-4150-B62C-7ED9F733358D}" uniqueName="12" name="Feedback.Comments" queryTableFieldId="12" dataDxfId="8"/>
    <tableColumn id="13" xr3:uid="{78895D6A-A309-4661-8FEF-975CE3954D24}" uniqueName="13" name="Overall_Rating" queryTableFieldId="13" dataDxfId="7">
      <calculatedColumnFormula>ROUND((Usage_Data_Feedback[[#This Row],[Feedback.Overall_Satisfaction_Rating]]+Usage_Data_Feedback[[#This Row],[Feedback.Performance_Rating]]+Usage_Data_Feedback[[#This Row],[Feedback.Ease_of_Use_Rating]])/3,2)</calculatedColumnFormula>
    </tableColumn>
    <tableColumn id="14" xr3:uid="{13B810A1-6A8C-4BCE-A57C-FDB52EE964DC}" uniqueName="14" name="Satisfaction_level" queryTableFieldId="14" dataDxfId="6">
      <calculatedColumnFormula>IF(Usage_Data_Feedback[[#This Row],[Overall_Rating]]&gt;8,"HIGH", IF(Usage_Data_Feedback[[#This Row],[Overall_Rating]]&gt;5,"MEDIUM","LOW"))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8A2AA6-7E15-43BC-9C93-90A113D8E97D}" name="Table2" displayName="Table2" ref="A1:E29" totalsRowShown="0">
  <autoFilter ref="A1:E29" xr:uid="{F48A2AA6-7E15-43BC-9C93-90A113D8E97D}"/>
  <tableColumns count="5">
    <tableColumn id="1" xr3:uid="{E7FA5DF1-A8C8-473C-9C91-0B1DAE5A877A}" name="Month" dataDxfId="5"/>
    <tableColumn id="2" xr3:uid="{A37A148B-6411-4611-9D4C-DE72AC62F91A}" name="Sales_kUSD"/>
    <tableColumn id="3" xr3:uid="{15EDF022-CF11-402E-B76E-E95BF8B925D4}" name="Forecast(Sales_kUSD)">
      <calculatedColumnFormula>_xlfn.FORECAST.ETS(A2,$B$2:$B$25,$A$2:$A$25,1,1)</calculatedColumnFormula>
    </tableColumn>
    <tableColumn id="4" xr3:uid="{A31D8393-29FA-4647-9C9F-3C181314BC85}" name="Lower Confidence Bound(Sales_kUSD)" dataDxfId="4">
      <calculatedColumnFormula>C2-_xlfn.FORECAST.ETS.CONFINT(A2,$B$2:$B$25,$A$2:$A$25,0.95,1,1)</calculatedColumnFormula>
    </tableColumn>
    <tableColumn id="5" xr3:uid="{CA646934-E351-44FC-A846-F61B42A96808}" name="Upper Confidence Bound(Sales_kUSD)" dataDxfId="3">
      <calculatedColumnFormula>C2+_xlfn.FORECAST.ETS.CONFINT(A2,$B$2:$B$25,$A$2:$A$25,0.95,1,1)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AB47-CED0-4EA5-8BF4-D389BA5D54B5}">
  <dimension ref="A1:L102"/>
  <sheetViews>
    <sheetView workbookViewId="0">
      <selection activeCell="P12" sqref="P12"/>
    </sheetView>
  </sheetViews>
  <sheetFormatPr defaultRowHeight="15" x14ac:dyDescent="0.25"/>
  <cols>
    <col min="1" max="1" width="9.85546875" bestFit="1" customWidth="1"/>
    <col min="2" max="2" width="6.28515625" bestFit="1" customWidth="1"/>
    <col min="4" max="4" width="9.85546875" bestFit="1" customWidth="1"/>
    <col min="5" max="6" width="8.140625" bestFit="1" customWidth="1"/>
    <col min="12" max="12" width="12.28515625" bestFit="1" customWidth="1"/>
  </cols>
  <sheetData>
    <row r="1" spans="1:12" x14ac:dyDescent="0.25">
      <c r="A1" s="24" t="s">
        <v>0</v>
      </c>
      <c r="B1" s="24"/>
    </row>
    <row r="2" spans="1:12" x14ac:dyDescent="0.25">
      <c r="A2" t="s">
        <v>1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K2" t="s">
        <v>8</v>
      </c>
      <c r="L2" t="s">
        <v>9</v>
      </c>
    </row>
    <row r="3" spans="1:12" x14ac:dyDescent="0.25">
      <c r="A3">
        <v>1</v>
      </c>
      <c r="B3">
        <f ca="1">RANDBETWEEN(40,99)</f>
        <v>93</v>
      </c>
      <c r="D3" t="s">
        <v>10</v>
      </c>
      <c r="E3">
        <f ca="1">RANDBETWEEN(500,900)</f>
        <v>857</v>
      </c>
      <c r="F3">
        <f t="shared" ref="F3:H7" ca="1" si="0">RANDBETWEEN(500,900)</f>
        <v>765</v>
      </c>
      <c r="G3">
        <f t="shared" ca="1" si="0"/>
        <v>729</v>
      </c>
      <c r="H3">
        <f t="shared" ca="1" si="0"/>
        <v>853</v>
      </c>
      <c r="K3" s="4">
        <v>45292</v>
      </c>
      <c r="L3">
        <f ca="1">RANDBETWEEN(2500,8900)</f>
        <v>6921</v>
      </c>
    </row>
    <row r="4" spans="1:12" x14ac:dyDescent="0.25">
      <c r="A4">
        <v>2</v>
      </c>
      <c r="B4">
        <f t="shared" ref="B4:B67" ca="1" si="1">RANDBETWEEN(40,99)</f>
        <v>99</v>
      </c>
      <c r="D4" t="s">
        <v>11</v>
      </c>
      <c r="E4">
        <f t="shared" ref="E4:E7" ca="1" si="2">RANDBETWEEN(500,900)</f>
        <v>838</v>
      </c>
      <c r="F4">
        <f t="shared" ca="1" si="0"/>
        <v>804</v>
      </c>
      <c r="G4">
        <f t="shared" ca="1" si="0"/>
        <v>737</v>
      </c>
      <c r="H4">
        <f t="shared" ca="1" si="0"/>
        <v>646</v>
      </c>
      <c r="K4" s="4">
        <v>45323</v>
      </c>
      <c r="L4">
        <f t="shared" ref="L4:L26" ca="1" si="3">RANDBETWEEN(2500,8900)</f>
        <v>3718</v>
      </c>
    </row>
    <row r="5" spans="1:12" x14ac:dyDescent="0.25">
      <c r="A5">
        <v>3</v>
      </c>
      <c r="B5">
        <f t="shared" ca="1" si="1"/>
        <v>73</v>
      </c>
      <c r="D5" t="s">
        <v>12</v>
      </c>
      <c r="E5">
        <f t="shared" ca="1" si="2"/>
        <v>822</v>
      </c>
      <c r="F5">
        <f t="shared" ca="1" si="0"/>
        <v>588</v>
      </c>
      <c r="G5">
        <f t="shared" ca="1" si="0"/>
        <v>585</v>
      </c>
      <c r="H5">
        <f t="shared" ca="1" si="0"/>
        <v>668</v>
      </c>
      <c r="K5" s="4">
        <v>45352</v>
      </c>
      <c r="L5">
        <f t="shared" ca="1" si="3"/>
        <v>7457</v>
      </c>
    </row>
    <row r="6" spans="1:12" x14ac:dyDescent="0.25">
      <c r="A6">
        <v>4</v>
      </c>
      <c r="B6">
        <f t="shared" ca="1" si="1"/>
        <v>79</v>
      </c>
      <c r="D6" t="s">
        <v>13</v>
      </c>
      <c r="E6">
        <f t="shared" ca="1" si="2"/>
        <v>586</v>
      </c>
      <c r="F6">
        <f t="shared" ca="1" si="0"/>
        <v>817</v>
      </c>
      <c r="G6">
        <f t="shared" ca="1" si="0"/>
        <v>654</v>
      </c>
      <c r="H6">
        <f t="shared" ca="1" si="0"/>
        <v>893</v>
      </c>
      <c r="K6" s="4">
        <v>45383</v>
      </c>
      <c r="L6">
        <f t="shared" ca="1" si="3"/>
        <v>4036</v>
      </c>
    </row>
    <row r="7" spans="1:12" x14ac:dyDescent="0.25">
      <c r="A7">
        <v>5</v>
      </c>
      <c r="B7">
        <f t="shared" ca="1" si="1"/>
        <v>53</v>
      </c>
      <c r="D7" t="s">
        <v>14</v>
      </c>
      <c r="E7">
        <f t="shared" ca="1" si="2"/>
        <v>633</v>
      </c>
      <c r="F7">
        <f t="shared" ca="1" si="0"/>
        <v>861</v>
      </c>
      <c r="G7">
        <f t="shared" ca="1" si="0"/>
        <v>523</v>
      </c>
      <c r="H7">
        <f t="shared" ca="1" si="0"/>
        <v>606</v>
      </c>
      <c r="K7" s="4">
        <v>45413</v>
      </c>
      <c r="L7">
        <f t="shared" ca="1" si="3"/>
        <v>8394</v>
      </c>
    </row>
    <row r="8" spans="1:12" x14ac:dyDescent="0.25">
      <c r="A8">
        <v>6</v>
      </c>
      <c r="B8">
        <f t="shared" ca="1" si="1"/>
        <v>40</v>
      </c>
      <c r="K8" s="4">
        <v>45444</v>
      </c>
      <c r="L8">
        <f t="shared" ca="1" si="3"/>
        <v>8787</v>
      </c>
    </row>
    <row r="9" spans="1:12" x14ac:dyDescent="0.25">
      <c r="A9">
        <v>7</v>
      </c>
      <c r="B9">
        <f t="shared" ca="1" si="1"/>
        <v>51</v>
      </c>
      <c r="K9" s="4">
        <v>45474</v>
      </c>
      <c r="L9">
        <f t="shared" ca="1" si="3"/>
        <v>7812</v>
      </c>
    </row>
    <row r="10" spans="1:12" x14ac:dyDescent="0.25">
      <c r="A10">
        <v>8</v>
      </c>
      <c r="B10">
        <f t="shared" ca="1" si="1"/>
        <v>80</v>
      </c>
      <c r="K10" s="4">
        <v>45505</v>
      </c>
      <c r="L10">
        <f t="shared" ca="1" si="3"/>
        <v>3189</v>
      </c>
    </row>
    <row r="11" spans="1:12" x14ac:dyDescent="0.25">
      <c r="A11">
        <v>9</v>
      </c>
      <c r="B11">
        <f t="shared" ca="1" si="1"/>
        <v>54</v>
      </c>
      <c r="K11" s="4">
        <v>45536</v>
      </c>
      <c r="L11">
        <f t="shared" ca="1" si="3"/>
        <v>3669</v>
      </c>
    </row>
    <row r="12" spans="1:12" x14ac:dyDescent="0.25">
      <c r="A12">
        <v>10</v>
      </c>
      <c r="B12">
        <f t="shared" ca="1" si="1"/>
        <v>96</v>
      </c>
      <c r="K12" s="4">
        <v>45566</v>
      </c>
      <c r="L12">
        <f t="shared" ca="1" si="3"/>
        <v>6902</v>
      </c>
    </row>
    <row r="13" spans="1:12" x14ac:dyDescent="0.25">
      <c r="A13">
        <v>11</v>
      </c>
      <c r="B13">
        <f t="shared" ca="1" si="1"/>
        <v>81</v>
      </c>
      <c r="K13" s="4">
        <v>45597</v>
      </c>
      <c r="L13">
        <f t="shared" ca="1" si="3"/>
        <v>2765</v>
      </c>
    </row>
    <row r="14" spans="1:12" x14ac:dyDescent="0.25">
      <c r="A14">
        <v>12</v>
      </c>
      <c r="B14">
        <f t="shared" ca="1" si="1"/>
        <v>71</v>
      </c>
      <c r="K14" s="4">
        <v>45627</v>
      </c>
      <c r="L14">
        <f t="shared" ca="1" si="3"/>
        <v>5963</v>
      </c>
    </row>
    <row r="15" spans="1:12" x14ac:dyDescent="0.25">
      <c r="A15">
        <v>13</v>
      </c>
      <c r="B15">
        <f t="shared" ca="1" si="1"/>
        <v>64</v>
      </c>
      <c r="K15" s="4">
        <v>45658</v>
      </c>
      <c r="L15">
        <f t="shared" ca="1" si="3"/>
        <v>3693</v>
      </c>
    </row>
    <row r="16" spans="1:12" x14ac:dyDescent="0.25">
      <c r="A16">
        <v>14</v>
      </c>
      <c r="B16">
        <f t="shared" ca="1" si="1"/>
        <v>85</v>
      </c>
      <c r="K16" s="4">
        <v>45689</v>
      </c>
      <c r="L16">
        <f t="shared" ca="1" si="3"/>
        <v>3181</v>
      </c>
    </row>
    <row r="17" spans="1:12" x14ac:dyDescent="0.25">
      <c r="A17">
        <v>15</v>
      </c>
      <c r="B17">
        <f t="shared" ca="1" si="1"/>
        <v>56</v>
      </c>
      <c r="K17" s="4">
        <v>45717</v>
      </c>
      <c r="L17">
        <f t="shared" ca="1" si="3"/>
        <v>7515</v>
      </c>
    </row>
    <row r="18" spans="1:12" x14ac:dyDescent="0.25">
      <c r="A18">
        <v>16</v>
      </c>
      <c r="B18">
        <f t="shared" ca="1" si="1"/>
        <v>43</v>
      </c>
      <c r="K18" s="4">
        <v>45748</v>
      </c>
      <c r="L18">
        <f t="shared" ca="1" si="3"/>
        <v>6890</v>
      </c>
    </row>
    <row r="19" spans="1:12" x14ac:dyDescent="0.25">
      <c r="A19">
        <v>17</v>
      </c>
      <c r="B19">
        <f t="shared" ca="1" si="1"/>
        <v>82</v>
      </c>
      <c r="K19" s="4">
        <v>45778</v>
      </c>
      <c r="L19">
        <f t="shared" ca="1" si="3"/>
        <v>2843</v>
      </c>
    </row>
    <row r="20" spans="1:12" x14ac:dyDescent="0.25">
      <c r="A20">
        <v>18</v>
      </c>
      <c r="B20">
        <f t="shared" ca="1" si="1"/>
        <v>88</v>
      </c>
      <c r="K20" s="4">
        <v>45809</v>
      </c>
      <c r="L20">
        <f t="shared" ca="1" si="3"/>
        <v>3744</v>
      </c>
    </row>
    <row r="21" spans="1:12" x14ac:dyDescent="0.25">
      <c r="A21">
        <v>19</v>
      </c>
      <c r="B21">
        <f t="shared" ca="1" si="1"/>
        <v>78</v>
      </c>
      <c r="K21" s="4">
        <v>45839</v>
      </c>
      <c r="L21">
        <f t="shared" ca="1" si="3"/>
        <v>7565</v>
      </c>
    </row>
    <row r="22" spans="1:12" x14ac:dyDescent="0.25">
      <c r="A22">
        <v>20</v>
      </c>
      <c r="B22">
        <f t="shared" ca="1" si="1"/>
        <v>52</v>
      </c>
      <c r="K22" s="4">
        <v>45870</v>
      </c>
      <c r="L22">
        <f t="shared" ca="1" si="3"/>
        <v>8883</v>
      </c>
    </row>
    <row r="23" spans="1:12" x14ac:dyDescent="0.25">
      <c r="A23">
        <v>21</v>
      </c>
      <c r="B23">
        <f t="shared" ca="1" si="1"/>
        <v>83</v>
      </c>
      <c r="K23" s="4">
        <v>45901</v>
      </c>
      <c r="L23">
        <f t="shared" ca="1" si="3"/>
        <v>8432</v>
      </c>
    </row>
    <row r="24" spans="1:12" x14ac:dyDescent="0.25">
      <c r="A24">
        <v>22</v>
      </c>
      <c r="B24">
        <f t="shared" ca="1" si="1"/>
        <v>73</v>
      </c>
      <c r="K24" s="4">
        <v>45931</v>
      </c>
      <c r="L24">
        <f t="shared" ca="1" si="3"/>
        <v>3551</v>
      </c>
    </row>
    <row r="25" spans="1:12" x14ac:dyDescent="0.25">
      <c r="A25">
        <v>23</v>
      </c>
      <c r="B25">
        <f t="shared" ca="1" si="1"/>
        <v>77</v>
      </c>
      <c r="K25" s="4">
        <v>45962</v>
      </c>
      <c r="L25">
        <f t="shared" ca="1" si="3"/>
        <v>5935</v>
      </c>
    </row>
    <row r="26" spans="1:12" x14ac:dyDescent="0.25">
      <c r="A26">
        <v>24</v>
      </c>
      <c r="B26">
        <f t="shared" ca="1" si="1"/>
        <v>47</v>
      </c>
      <c r="K26" s="4">
        <v>45992</v>
      </c>
      <c r="L26">
        <f t="shared" ca="1" si="3"/>
        <v>8864</v>
      </c>
    </row>
    <row r="27" spans="1:12" x14ac:dyDescent="0.25">
      <c r="A27">
        <v>25</v>
      </c>
      <c r="B27">
        <f t="shared" ca="1" si="1"/>
        <v>78</v>
      </c>
    </row>
    <row r="28" spans="1:12" x14ac:dyDescent="0.25">
      <c r="A28">
        <v>26</v>
      </c>
      <c r="B28">
        <f t="shared" ca="1" si="1"/>
        <v>73</v>
      </c>
    </row>
    <row r="29" spans="1:12" x14ac:dyDescent="0.25">
      <c r="A29">
        <v>27</v>
      </c>
      <c r="B29">
        <f t="shared" ca="1" si="1"/>
        <v>99</v>
      </c>
    </row>
    <row r="30" spans="1:12" x14ac:dyDescent="0.25">
      <c r="A30">
        <v>28</v>
      </c>
      <c r="B30">
        <f t="shared" ca="1" si="1"/>
        <v>66</v>
      </c>
    </row>
    <row r="31" spans="1:12" x14ac:dyDescent="0.25">
      <c r="A31">
        <v>29</v>
      </c>
      <c r="B31">
        <f t="shared" ca="1" si="1"/>
        <v>89</v>
      </c>
    </row>
    <row r="32" spans="1:12" x14ac:dyDescent="0.25">
      <c r="A32">
        <v>30</v>
      </c>
      <c r="B32">
        <f t="shared" ca="1" si="1"/>
        <v>63</v>
      </c>
    </row>
    <row r="33" spans="1:2" x14ac:dyDescent="0.25">
      <c r="A33">
        <v>31</v>
      </c>
      <c r="B33">
        <f t="shared" ca="1" si="1"/>
        <v>93</v>
      </c>
    </row>
    <row r="34" spans="1:2" x14ac:dyDescent="0.25">
      <c r="A34">
        <v>32</v>
      </c>
      <c r="B34">
        <f t="shared" ca="1" si="1"/>
        <v>90</v>
      </c>
    </row>
    <row r="35" spans="1:2" x14ac:dyDescent="0.25">
      <c r="A35">
        <v>33</v>
      </c>
      <c r="B35">
        <f t="shared" ca="1" si="1"/>
        <v>80</v>
      </c>
    </row>
    <row r="36" spans="1:2" x14ac:dyDescent="0.25">
      <c r="A36">
        <v>34</v>
      </c>
      <c r="B36">
        <f t="shared" ca="1" si="1"/>
        <v>88</v>
      </c>
    </row>
    <row r="37" spans="1:2" x14ac:dyDescent="0.25">
      <c r="A37">
        <v>35</v>
      </c>
      <c r="B37">
        <f t="shared" ca="1" si="1"/>
        <v>66</v>
      </c>
    </row>
    <row r="38" spans="1:2" x14ac:dyDescent="0.25">
      <c r="A38">
        <v>36</v>
      </c>
      <c r="B38">
        <f t="shared" ca="1" si="1"/>
        <v>44</v>
      </c>
    </row>
    <row r="39" spans="1:2" x14ac:dyDescent="0.25">
      <c r="A39">
        <v>37</v>
      </c>
      <c r="B39">
        <f t="shared" ca="1" si="1"/>
        <v>90</v>
      </c>
    </row>
    <row r="40" spans="1:2" x14ac:dyDescent="0.25">
      <c r="A40">
        <v>38</v>
      </c>
      <c r="B40">
        <f t="shared" ca="1" si="1"/>
        <v>99</v>
      </c>
    </row>
    <row r="41" spans="1:2" x14ac:dyDescent="0.25">
      <c r="A41">
        <v>39</v>
      </c>
      <c r="B41">
        <f t="shared" ca="1" si="1"/>
        <v>53</v>
      </c>
    </row>
    <row r="42" spans="1:2" x14ac:dyDescent="0.25">
      <c r="A42">
        <v>40</v>
      </c>
      <c r="B42">
        <f t="shared" ca="1" si="1"/>
        <v>68</v>
      </c>
    </row>
    <row r="43" spans="1:2" x14ac:dyDescent="0.25">
      <c r="A43">
        <v>41</v>
      </c>
      <c r="B43">
        <f t="shared" ca="1" si="1"/>
        <v>53</v>
      </c>
    </row>
    <row r="44" spans="1:2" x14ac:dyDescent="0.25">
      <c r="A44">
        <v>42</v>
      </c>
      <c r="B44">
        <f t="shared" ca="1" si="1"/>
        <v>95</v>
      </c>
    </row>
    <row r="45" spans="1:2" x14ac:dyDescent="0.25">
      <c r="A45">
        <v>43</v>
      </c>
      <c r="B45">
        <f t="shared" ca="1" si="1"/>
        <v>78</v>
      </c>
    </row>
    <row r="46" spans="1:2" x14ac:dyDescent="0.25">
      <c r="A46">
        <v>44</v>
      </c>
      <c r="B46">
        <f t="shared" ca="1" si="1"/>
        <v>65</v>
      </c>
    </row>
    <row r="47" spans="1:2" x14ac:dyDescent="0.25">
      <c r="A47">
        <v>45</v>
      </c>
      <c r="B47">
        <f t="shared" ca="1" si="1"/>
        <v>47</v>
      </c>
    </row>
    <row r="48" spans="1:2" x14ac:dyDescent="0.25">
      <c r="A48">
        <v>46</v>
      </c>
      <c r="B48">
        <f t="shared" ca="1" si="1"/>
        <v>83</v>
      </c>
    </row>
    <row r="49" spans="1:2" x14ac:dyDescent="0.25">
      <c r="A49">
        <v>47</v>
      </c>
      <c r="B49">
        <f t="shared" ca="1" si="1"/>
        <v>92</v>
      </c>
    </row>
    <row r="50" spans="1:2" x14ac:dyDescent="0.25">
      <c r="A50">
        <v>48</v>
      </c>
      <c r="B50">
        <f t="shared" ca="1" si="1"/>
        <v>80</v>
      </c>
    </row>
    <row r="51" spans="1:2" x14ac:dyDescent="0.25">
      <c r="A51">
        <v>49</v>
      </c>
      <c r="B51">
        <f t="shared" ca="1" si="1"/>
        <v>54</v>
      </c>
    </row>
    <row r="52" spans="1:2" x14ac:dyDescent="0.25">
      <c r="A52">
        <v>50</v>
      </c>
      <c r="B52">
        <f t="shared" ca="1" si="1"/>
        <v>46</v>
      </c>
    </row>
    <row r="53" spans="1:2" x14ac:dyDescent="0.25">
      <c r="A53">
        <v>51</v>
      </c>
      <c r="B53">
        <f t="shared" ca="1" si="1"/>
        <v>73</v>
      </c>
    </row>
    <row r="54" spans="1:2" x14ac:dyDescent="0.25">
      <c r="A54">
        <v>52</v>
      </c>
      <c r="B54">
        <f t="shared" ca="1" si="1"/>
        <v>89</v>
      </c>
    </row>
    <row r="55" spans="1:2" x14ac:dyDescent="0.25">
      <c r="A55">
        <v>53</v>
      </c>
      <c r="B55">
        <f t="shared" ca="1" si="1"/>
        <v>43</v>
      </c>
    </row>
    <row r="56" spans="1:2" x14ac:dyDescent="0.25">
      <c r="A56">
        <v>54</v>
      </c>
      <c r="B56">
        <f t="shared" ca="1" si="1"/>
        <v>66</v>
      </c>
    </row>
    <row r="57" spans="1:2" x14ac:dyDescent="0.25">
      <c r="A57">
        <v>55</v>
      </c>
      <c r="B57">
        <f t="shared" ca="1" si="1"/>
        <v>95</v>
      </c>
    </row>
    <row r="58" spans="1:2" x14ac:dyDescent="0.25">
      <c r="A58">
        <v>56</v>
      </c>
      <c r="B58">
        <f t="shared" ca="1" si="1"/>
        <v>56</v>
      </c>
    </row>
    <row r="59" spans="1:2" x14ac:dyDescent="0.25">
      <c r="A59">
        <v>57</v>
      </c>
      <c r="B59">
        <f t="shared" ca="1" si="1"/>
        <v>48</v>
      </c>
    </row>
    <row r="60" spans="1:2" x14ac:dyDescent="0.25">
      <c r="A60">
        <v>58</v>
      </c>
      <c r="B60">
        <f t="shared" ca="1" si="1"/>
        <v>92</v>
      </c>
    </row>
    <row r="61" spans="1:2" x14ac:dyDescent="0.25">
      <c r="A61">
        <v>59</v>
      </c>
      <c r="B61">
        <f t="shared" ca="1" si="1"/>
        <v>76</v>
      </c>
    </row>
    <row r="62" spans="1:2" x14ac:dyDescent="0.25">
      <c r="A62">
        <v>60</v>
      </c>
      <c r="B62">
        <f t="shared" ca="1" si="1"/>
        <v>44</v>
      </c>
    </row>
    <row r="63" spans="1:2" x14ac:dyDescent="0.25">
      <c r="A63">
        <v>61</v>
      </c>
      <c r="B63">
        <f t="shared" ca="1" si="1"/>
        <v>90</v>
      </c>
    </row>
    <row r="64" spans="1:2" x14ac:dyDescent="0.25">
      <c r="A64">
        <v>62</v>
      </c>
      <c r="B64">
        <f t="shared" ca="1" si="1"/>
        <v>87</v>
      </c>
    </row>
    <row r="65" spans="1:2" x14ac:dyDescent="0.25">
      <c r="A65">
        <v>63</v>
      </c>
      <c r="B65">
        <f t="shared" ca="1" si="1"/>
        <v>72</v>
      </c>
    </row>
    <row r="66" spans="1:2" x14ac:dyDescent="0.25">
      <c r="A66">
        <v>64</v>
      </c>
      <c r="B66">
        <f t="shared" ca="1" si="1"/>
        <v>76</v>
      </c>
    </row>
    <row r="67" spans="1:2" x14ac:dyDescent="0.25">
      <c r="A67">
        <v>65</v>
      </c>
      <c r="B67">
        <f t="shared" ca="1" si="1"/>
        <v>99</v>
      </c>
    </row>
    <row r="68" spans="1:2" x14ac:dyDescent="0.25">
      <c r="A68">
        <v>66</v>
      </c>
      <c r="B68">
        <f t="shared" ref="B68:B102" ca="1" si="4">RANDBETWEEN(40,99)</f>
        <v>69</v>
      </c>
    </row>
    <row r="69" spans="1:2" x14ac:dyDescent="0.25">
      <c r="A69">
        <v>67</v>
      </c>
      <c r="B69">
        <f t="shared" ca="1" si="4"/>
        <v>95</v>
      </c>
    </row>
    <row r="70" spans="1:2" x14ac:dyDescent="0.25">
      <c r="A70">
        <v>68</v>
      </c>
      <c r="B70">
        <f t="shared" ca="1" si="4"/>
        <v>48</v>
      </c>
    </row>
    <row r="71" spans="1:2" x14ac:dyDescent="0.25">
      <c r="A71">
        <v>69</v>
      </c>
      <c r="B71">
        <f t="shared" ca="1" si="4"/>
        <v>62</v>
      </c>
    </row>
    <row r="72" spans="1:2" x14ac:dyDescent="0.25">
      <c r="A72">
        <v>70</v>
      </c>
      <c r="B72">
        <f t="shared" ca="1" si="4"/>
        <v>57</v>
      </c>
    </row>
    <row r="73" spans="1:2" x14ac:dyDescent="0.25">
      <c r="A73">
        <v>71</v>
      </c>
      <c r="B73">
        <f t="shared" ca="1" si="4"/>
        <v>97</v>
      </c>
    </row>
    <row r="74" spans="1:2" x14ac:dyDescent="0.25">
      <c r="A74">
        <v>72</v>
      </c>
      <c r="B74">
        <f t="shared" ca="1" si="4"/>
        <v>51</v>
      </c>
    </row>
    <row r="75" spans="1:2" x14ac:dyDescent="0.25">
      <c r="A75">
        <v>73</v>
      </c>
      <c r="B75">
        <f t="shared" ca="1" si="4"/>
        <v>99</v>
      </c>
    </row>
    <row r="76" spans="1:2" x14ac:dyDescent="0.25">
      <c r="A76">
        <v>74</v>
      </c>
      <c r="B76">
        <f t="shared" ca="1" si="4"/>
        <v>96</v>
      </c>
    </row>
    <row r="77" spans="1:2" x14ac:dyDescent="0.25">
      <c r="A77">
        <v>75</v>
      </c>
      <c r="B77">
        <f t="shared" ca="1" si="4"/>
        <v>40</v>
      </c>
    </row>
    <row r="78" spans="1:2" x14ac:dyDescent="0.25">
      <c r="A78">
        <v>76</v>
      </c>
      <c r="B78">
        <f t="shared" ca="1" si="4"/>
        <v>81</v>
      </c>
    </row>
    <row r="79" spans="1:2" x14ac:dyDescent="0.25">
      <c r="A79">
        <v>77</v>
      </c>
      <c r="B79">
        <f t="shared" ca="1" si="4"/>
        <v>52</v>
      </c>
    </row>
    <row r="80" spans="1:2" x14ac:dyDescent="0.25">
      <c r="A80">
        <v>78</v>
      </c>
      <c r="B80">
        <f t="shared" ca="1" si="4"/>
        <v>58</v>
      </c>
    </row>
    <row r="81" spans="1:2" x14ac:dyDescent="0.25">
      <c r="A81">
        <v>79</v>
      </c>
      <c r="B81">
        <f t="shared" ca="1" si="4"/>
        <v>71</v>
      </c>
    </row>
    <row r="82" spans="1:2" x14ac:dyDescent="0.25">
      <c r="A82">
        <v>80</v>
      </c>
      <c r="B82">
        <f t="shared" ca="1" si="4"/>
        <v>85</v>
      </c>
    </row>
    <row r="83" spans="1:2" x14ac:dyDescent="0.25">
      <c r="A83">
        <v>81</v>
      </c>
      <c r="B83">
        <f t="shared" ca="1" si="4"/>
        <v>92</v>
      </c>
    </row>
    <row r="84" spans="1:2" x14ac:dyDescent="0.25">
      <c r="A84">
        <v>82</v>
      </c>
      <c r="B84">
        <f t="shared" ca="1" si="4"/>
        <v>64</v>
      </c>
    </row>
    <row r="85" spans="1:2" x14ac:dyDescent="0.25">
      <c r="A85">
        <v>83</v>
      </c>
      <c r="B85">
        <f t="shared" ca="1" si="4"/>
        <v>90</v>
      </c>
    </row>
    <row r="86" spans="1:2" x14ac:dyDescent="0.25">
      <c r="A86">
        <v>84</v>
      </c>
      <c r="B86">
        <f t="shared" ca="1" si="4"/>
        <v>66</v>
      </c>
    </row>
    <row r="87" spans="1:2" x14ac:dyDescent="0.25">
      <c r="A87">
        <v>85</v>
      </c>
      <c r="B87">
        <f t="shared" ca="1" si="4"/>
        <v>83</v>
      </c>
    </row>
    <row r="88" spans="1:2" x14ac:dyDescent="0.25">
      <c r="A88">
        <v>86</v>
      </c>
      <c r="B88">
        <f t="shared" ca="1" si="4"/>
        <v>87</v>
      </c>
    </row>
    <row r="89" spans="1:2" x14ac:dyDescent="0.25">
      <c r="A89">
        <v>87</v>
      </c>
      <c r="B89">
        <f t="shared" ca="1" si="4"/>
        <v>52</v>
      </c>
    </row>
    <row r="90" spans="1:2" x14ac:dyDescent="0.25">
      <c r="A90">
        <v>88</v>
      </c>
      <c r="B90">
        <f t="shared" ca="1" si="4"/>
        <v>88</v>
      </c>
    </row>
    <row r="91" spans="1:2" x14ac:dyDescent="0.25">
      <c r="A91">
        <v>89</v>
      </c>
      <c r="B91">
        <f t="shared" ca="1" si="4"/>
        <v>63</v>
      </c>
    </row>
    <row r="92" spans="1:2" x14ac:dyDescent="0.25">
      <c r="A92">
        <v>90</v>
      </c>
      <c r="B92">
        <f t="shared" ca="1" si="4"/>
        <v>78</v>
      </c>
    </row>
    <row r="93" spans="1:2" x14ac:dyDescent="0.25">
      <c r="A93">
        <v>91</v>
      </c>
      <c r="B93">
        <f t="shared" ca="1" si="4"/>
        <v>43</v>
      </c>
    </row>
    <row r="94" spans="1:2" x14ac:dyDescent="0.25">
      <c r="A94">
        <v>92</v>
      </c>
      <c r="B94">
        <f t="shared" ca="1" si="4"/>
        <v>45</v>
      </c>
    </row>
    <row r="95" spans="1:2" x14ac:dyDescent="0.25">
      <c r="A95">
        <v>93</v>
      </c>
      <c r="B95">
        <f t="shared" ca="1" si="4"/>
        <v>49</v>
      </c>
    </row>
    <row r="96" spans="1:2" x14ac:dyDescent="0.25">
      <c r="A96">
        <v>94</v>
      </c>
      <c r="B96">
        <f t="shared" ca="1" si="4"/>
        <v>46</v>
      </c>
    </row>
    <row r="97" spans="1:2" x14ac:dyDescent="0.25">
      <c r="A97">
        <v>95</v>
      </c>
      <c r="B97">
        <f t="shared" ca="1" si="4"/>
        <v>74</v>
      </c>
    </row>
    <row r="98" spans="1:2" x14ac:dyDescent="0.25">
      <c r="A98">
        <v>96</v>
      </c>
      <c r="B98">
        <f t="shared" ca="1" si="4"/>
        <v>51</v>
      </c>
    </row>
    <row r="99" spans="1:2" x14ac:dyDescent="0.25">
      <c r="A99">
        <v>97</v>
      </c>
      <c r="B99">
        <f t="shared" ca="1" si="4"/>
        <v>69</v>
      </c>
    </row>
    <row r="100" spans="1:2" x14ac:dyDescent="0.25">
      <c r="A100">
        <v>98</v>
      </c>
      <c r="B100">
        <f t="shared" ca="1" si="4"/>
        <v>50</v>
      </c>
    </row>
    <row r="101" spans="1:2" x14ac:dyDescent="0.25">
      <c r="A101">
        <v>99</v>
      </c>
      <c r="B101">
        <f t="shared" ca="1" si="4"/>
        <v>48</v>
      </c>
    </row>
    <row r="102" spans="1:2" x14ac:dyDescent="0.25">
      <c r="A102">
        <v>100</v>
      </c>
      <c r="B102">
        <f t="shared" ca="1" si="4"/>
        <v>42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F7C2-CC97-46F4-9541-C6FFC27A6BFF}">
  <dimension ref="A1:J101"/>
  <sheetViews>
    <sheetView workbookViewId="0">
      <selection activeCell="X18" sqref="X18"/>
    </sheetView>
  </sheetViews>
  <sheetFormatPr defaultRowHeight="15" x14ac:dyDescent="0.25"/>
  <sheetData>
    <row r="1" spans="1:10" x14ac:dyDescent="0.25">
      <c r="A1" s="3" t="s">
        <v>1</v>
      </c>
      <c r="B1" s="3" t="s">
        <v>2</v>
      </c>
      <c r="G1" s="3" t="s">
        <v>15</v>
      </c>
      <c r="I1" s="5" t="s">
        <v>15</v>
      </c>
      <c r="J1" s="5" t="s">
        <v>16</v>
      </c>
    </row>
    <row r="2" spans="1:10" x14ac:dyDescent="0.25">
      <c r="A2" s="2">
        <v>1</v>
      </c>
      <c r="B2" s="2">
        <v>80</v>
      </c>
      <c r="G2" s="2">
        <v>30</v>
      </c>
      <c r="I2">
        <v>30</v>
      </c>
      <c r="J2">
        <v>0</v>
      </c>
    </row>
    <row r="3" spans="1:10" x14ac:dyDescent="0.25">
      <c r="A3" s="2">
        <v>2</v>
      </c>
      <c r="B3" s="2">
        <v>48</v>
      </c>
      <c r="G3" s="2">
        <v>40</v>
      </c>
      <c r="I3">
        <v>40</v>
      </c>
      <c r="J3">
        <v>1</v>
      </c>
    </row>
    <row r="4" spans="1:10" x14ac:dyDescent="0.25">
      <c r="A4" s="2">
        <v>3</v>
      </c>
      <c r="B4" s="2">
        <v>52</v>
      </c>
      <c r="G4" s="2">
        <v>50</v>
      </c>
      <c r="I4">
        <v>50</v>
      </c>
      <c r="J4">
        <v>24</v>
      </c>
    </row>
    <row r="5" spans="1:10" x14ac:dyDescent="0.25">
      <c r="A5" s="2">
        <v>4</v>
      </c>
      <c r="B5" s="2">
        <v>42</v>
      </c>
      <c r="G5" s="2">
        <v>60</v>
      </c>
      <c r="I5">
        <v>60</v>
      </c>
      <c r="J5">
        <v>15</v>
      </c>
    </row>
    <row r="6" spans="1:10" x14ac:dyDescent="0.25">
      <c r="A6" s="2">
        <v>5</v>
      </c>
      <c r="B6" s="2">
        <v>95</v>
      </c>
      <c r="G6" s="2">
        <v>70</v>
      </c>
      <c r="I6">
        <v>70</v>
      </c>
      <c r="J6">
        <v>21</v>
      </c>
    </row>
    <row r="7" spans="1:10" x14ac:dyDescent="0.25">
      <c r="A7" s="2">
        <v>6</v>
      </c>
      <c r="B7" s="2">
        <v>92</v>
      </c>
      <c r="G7" s="2">
        <v>80</v>
      </c>
      <c r="I7">
        <v>80</v>
      </c>
      <c r="J7">
        <v>21</v>
      </c>
    </row>
    <row r="8" spans="1:10" x14ac:dyDescent="0.25">
      <c r="A8" s="2">
        <v>7</v>
      </c>
      <c r="B8" s="2">
        <v>72</v>
      </c>
      <c r="G8" s="2">
        <v>90</v>
      </c>
      <c r="I8">
        <v>90</v>
      </c>
      <c r="J8">
        <v>7</v>
      </c>
    </row>
    <row r="9" spans="1:10" x14ac:dyDescent="0.25">
      <c r="A9" s="2">
        <v>8</v>
      </c>
      <c r="B9" s="2">
        <v>66</v>
      </c>
      <c r="G9" s="2">
        <v>100</v>
      </c>
      <c r="I9">
        <v>100</v>
      </c>
      <c r="J9">
        <v>11</v>
      </c>
    </row>
    <row r="10" spans="1:10" x14ac:dyDescent="0.25">
      <c r="A10" s="2">
        <v>9</v>
      </c>
      <c r="B10" s="2">
        <v>77</v>
      </c>
    </row>
    <row r="11" spans="1:10" x14ac:dyDescent="0.25">
      <c r="A11" s="2">
        <v>10</v>
      </c>
      <c r="B11" s="2">
        <v>73</v>
      </c>
    </row>
    <row r="12" spans="1:10" x14ac:dyDescent="0.25">
      <c r="A12" s="2">
        <v>11</v>
      </c>
      <c r="B12" s="2">
        <v>48</v>
      </c>
    </row>
    <row r="13" spans="1:10" x14ac:dyDescent="0.25">
      <c r="A13" s="2">
        <v>12</v>
      </c>
      <c r="B13" s="2">
        <v>51</v>
      </c>
    </row>
    <row r="14" spans="1:10" x14ac:dyDescent="0.25">
      <c r="A14" s="2">
        <v>13</v>
      </c>
      <c r="B14" s="2">
        <v>88</v>
      </c>
    </row>
    <row r="15" spans="1:10" x14ac:dyDescent="0.25">
      <c r="A15" s="2">
        <v>14</v>
      </c>
      <c r="B15" s="2">
        <v>46</v>
      </c>
    </row>
    <row r="16" spans="1:10" x14ac:dyDescent="0.25">
      <c r="A16" s="2">
        <v>15</v>
      </c>
      <c r="B16" s="2">
        <v>71</v>
      </c>
    </row>
    <row r="17" spans="1:2" x14ac:dyDescent="0.25">
      <c r="A17" s="2">
        <v>16</v>
      </c>
      <c r="B17" s="2">
        <v>89</v>
      </c>
    </row>
    <row r="18" spans="1:2" x14ac:dyDescent="0.25">
      <c r="A18" s="2">
        <v>17</v>
      </c>
      <c r="B18" s="2">
        <v>83</v>
      </c>
    </row>
    <row r="19" spans="1:2" x14ac:dyDescent="0.25">
      <c r="A19" s="2">
        <v>18</v>
      </c>
      <c r="B19" s="2">
        <v>40</v>
      </c>
    </row>
    <row r="20" spans="1:2" x14ac:dyDescent="0.25">
      <c r="A20" s="2">
        <v>19</v>
      </c>
      <c r="B20" s="2">
        <v>49</v>
      </c>
    </row>
    <row r="21" spans="1:2" x14ac:dyDescent="0.25">
      <c r="A21" s="2">
        <v>20</v>
      </c>
      <c r="B21" s="2">
        <v>73</v>
      </c>
    </row>
    <row r="22" spans="1:2" x14ac:dyDescent="0.25">
      <c r="A22" s="2">
        <v>21</v>
      </c>
      <c r="B22" s="2">
        <v>45</v>
      </c>
    </row>
    <row r="23" spans="1:2" x14ac:dyDescent="0.25">
      <c r="A23" s="2">
        <v>22</v>
      </c>
      <c r="B23" s="2">
        <v>68</v>
      </c>
    </row>
    <row r="24" spans="1:2" x14ac:dyDescent="0.25">
      <c r="A24" s="2">
        <v>23</v>
      </c>
      <c r="B24" s="2">
        <v>76</v>
      </c>
    </row>
    <row r="25" spans="1:2" x14ac:dyDescent="0.25">
      <c r="A25" s="2">
        <v>24</v>
      </c>
      <c r="B25" s="2">
        <v>45</v>
      </c>
    </row>
    <row r="26" spans="1:2" x14ac:dyDescent="0.25">
      <c r="A26" s="2">
        <v>25</v>
      </c>
      <c r="B26" s="2">
        <v>57</v>
      </c>
    </row>
    <row r="27" spans="1:2" x14ac:dyDescent="0.25">
      <c r="A27" s="2">
        <v>26</v>
      </c>
      <c r="B27" s="2">
        <v>79</v>
      </c>
    </row>
    <row r="28" spans="1:2" x14ac:dyDescent="0.25">
      <c r="A28" s="2">
        <v>27</v>
      </c>
      <c r="B28" s="2">
        <v>71</v>
      </c>
    </row>
    <row r="29" spans="1:2" x14ac:dyDescent="0.25">
      <c r="A29" s="2">
        <v>28</v>
      </c>
      <c r="B29" s="2">
        <v>44</v>
      </c>
    </row>
    <row r="30" spans="1:2" x14ac:dyDescent="0.25">
      <c r="A30" s="2">
        <v>29</v>
      </c>
      <c r="B30" s="2">
        <v>56</v>
      </c>
    </row>
    <row r="31" spans="1:2" x14ac:dyDescent="0.25">
      <c r="A31" s="2">
        <v>30</v>
      </c>
      <c r="B31" s="2">
        <v>55</v>
      </c>
    </row>
    <row r="32" spans="1:2" x14ac:dyDescent="0.25">
      <c r="A32" s="2">
        <v>31</v>
      </c>
      <c r="B32" s="2">
        <v>89</v>
      </c>
    </row>
    <row r="33" spans="1:2" x14ac:dyDescent="0.25">
      <c r="A33" s="2">
        <v>32</v>
      </c>
      <c r="B33" s="2">
        <v>61</v>
      </c>
    </row>
    <row r="34" spans="1:2" x14ac:dyDescent="0.25">
      <c r="A34" s="2">
        <v>33</v>
      </c>
      <c r="B34" s="2">
        <v>92</v>
      </c>
    </row>
    <row r="35" spans="1:2" x14ac:dyDescent="0.25">
      <c r="A35" s="2">
        <v>34</v>
      </c>
      <c r="B35" s="2">
        <v>89</v>
      </c>
    </row>
    <row r="36" spans="1:2" x14ac:dyDescent="0.25">
      <c r="A36" s="2">
        <v>35</v>
      </c>
      <c r="B36" s="2">
        <v>43</v>
      </c>
    </row>
    <row r="37" spans="1:2" x14ac:dyDescent="0.25">
      <c r="A37" s="2">
        <v>36</v>
      </c>
      <c r="B37" s="2">
        <v>61</v>
      </c>
    </row>
    <row r="38" spans="1:2" x14ac:dyDescent="0.25">
      <c r="A38" s="2">
        <v>37</v>
      </c>
      <c r="B38" s="2">
        <v>69</v>
      </c>
    </row>
    <row r="39" spans="1:2" x14ac:dyDescent="0.25">
      <c r="A39" s="2">
        <v>38</v>
      </c>
      <c r="B39" s="2">
        <v>65</v>
      </c>
    </row>
    <row r="40" spans="1:2" x14ac:dyDescent="0.25">
      <c r="A40" s="2">
        <v>39</v>
      </c>
      <c r="B40" s="2">
        <v>69</v>
      </c>
    </row>
    <row r="41" spans="1:2" x14ac:dyDescent="0.25">
      <c r="A41" s="2">
        <v>40</v>
      </c>
      <c r="B41" s="2">
        <v>57</v>
      </c>
    </row>
    <row r="42" spans="1:2" x14ac:dyDescent="0.25">
      <c r="A42" s="2">
        <v>41</v>
      </c>
      <c r="B42" s="2">
        <v>41</v>
      </c>
    </row>
    <row r="43" spans="1:2" x14ac:dyDescent="0.25">
      <c r="A43" s="2">
        <v>42</v>
      </c>
      <c r="B43" s="2">
        <v>44</v>
      </c>
    </row>
    <row r="44" spans="1:2" x14ac:dyDescent="0.25">
      <c r="A44" s="2">
        <v>43</v>
      </c>
      <c r="B44" s="2">
        <v>57</v>
      </c>
    </row>
    <row r="45" spans="1:2" x14ac:dyDescent="0.25">
      <c r="A45" s="2">
        <v>44</v>
      </c>
      <c r="B45" s="2">
        <v>59</v>
      </c>
    </row>
    <row r="46" spans="1:2" x14ac:dyDescent="0.25">
      <c r="A46" s="2">
        <v>45</v>
      </c>
      <c r="B46" s="2">
        <v>96</v>
      </c>
    </row>
    <row r="47" spans="1:2" x14ac:dyDescent="0.25">
      <c r="A47" s="2">
        <v>46</v>
      </c>
      <c r="B47" s="2">
        <v>67</v>
      </c>
    </row>
    <row r="48" spans="1:2" x14ac:dyDescent="0.25">
      <c r="A48" s="2">
        <v>47</v>
      </c>
      <c r="B48" s="2">
        <v>68</v>
      </c>
    </row>
    <row r="49" spans="1:2" x14ac:dyDescent="0.25">
      <c r="A49" s="2">
        <v>48</v>
      </c>
      <c r="B49" s="2">
        <v>81</v>
      </c>
    </row>
    <row r="50" spans="1:2" x14ac:dyDescent="0.25">
      <c r="A50" s="2">
        <v>49</v>
      </c>
      <c r="B50" s="2">
        <v>68</v>
      </c>
    </row>
    <row r="51" spans="1:2" x14ac:dyDescent="0.25">
      <c r="A51" s="2">
        <v>50</v>
      </c>
      <c r="B51" s="2">
        <v>52</v>
      </c>
    </row>
    <row r="52" spans="1:2" x14ac:dyDescent="0.25">
      <c r="A52" s="2">
        <v>51</v>
      </c>
      <c r="B52" s="2">
        <v>78</v>
      </c>
    </row>
    <row r="53" spans="1:2" x14ac:dyDescent="0.25">
      <c r="A53" s="2">
        <v>52</v>
      </c>
      <c r="B53" s="2">
        <v>77</v>
      </c>
    </row>
    <row r="54" spans="1:2" x14ac:dyDescent="0.25">
      <c r="A54" s="2">
        <v>53</v>
      </c>
      <c r="B54" s="2">
        <v>44</v>
      </c>
    </row>
    <row r="55" spans="1:2" x14ac:dyDescent="0.25">
      <c r="A55" s="2">
        <v>54</v>
      </c>
      <c r="B55" s="2">
        <v>61</v>
      </c>
    </row>
    <row r="56" spans="1:2" x14ac:dyDescent="0.25">
      <c r="A56" s="2">
        <v>55</v>
      </c>
      <c r="B56" s="2">
        <v>99</v>
      </c>
    </row>
    <row r="57" spans="1:2" x14ac:dyDescent="0.25">
      <c r="A57" s="2">
        <v>56</v>
      </c>
      <c r="B57" s="2">
        <v>75</v>
      </c>
    </row>
    <row r="58" spans="1:2" x14ac:dyDescent="0.25">
      <c r="A58" s="2">
        <v>57</v>
      </c>
      <c r="B58" s="2">
        <v>46</v>
      </c>
    </row>
    <row r="59" spans="1:2" x14ac:dyDescent="0.25">
      <c r="A59" s="2">
        <v>58</v>
      </c>
      <c r="B59" s="2">
        <v>47</v>
      </c>
    </row>
    <row r="60" spans="1:2" x14ac:dyDescent="0.25">
      <c r="A60" s="2">
        <v>59</v>
      </c>
      <c r="B60" s="2">
        <v>66</v>
      </c>
    </row>
    <row r="61" spans="1:2" x14ac:dyDescent="0.25">
      <c r="A61" s="2">
        <v>60</v>
      </c>
      <c r="B61" s="2">
        <v>97</v>
      </c>
    </row>
    <row r="62" spans="1:2" x14ac:dyDescent="0.25">
      <c r="A62" s="2">
        <v>61</v>
      </c>
      <c r="B62" s="2">
        <v>94</v>
      </c>
    </row>
    <row r="63" spans="1:2" x14ac:dyDescent="0.25">
      <c r="A63" s="2">
        <v>62</v>
      </c>
      <c r="B63" s="2">
        <v>48</v>
      </c>
    </row>
    <row r="64" spans="1:2" x14ac:dyDescent="0.25">
      <c r="A64" s="2">
        <v>63</v>
      </c>
      <c r="B64" s="2">
        <v>49</v>
      </c>
    </row>
    <row r="65" spans="1:2" x14ac:dyDescent="0.25">
      <c r="A65" s="2">
        <v>64</v>
      </c>
      <c r="B65" s="2">
        <v>43</v>
      </c>
    </row>
    <row r="66" spans="1:2" x14ac:dyDescent="0.25">
      <c r="A66" s="2">
        <v>65</v>
      </c>
      <c r="B66" s="2">
        <v>54</v>
      </c>
    </row>
    <row r="67" spans="1:2" x14ac:dyDescent="0.25">
      <c r="A67" s="2">
        <v>66</v>
      </c>
      <c r="B67" s="2">
        <v>61</v>
      </c>
    </row>
    <row r="68" spans="1:2" x14ac:dyDescent="0.25">
      <c r="A68" s="2">
        <v>67</v>
      </c>
      <c r="B68" s="2">
        <v>76</v>
      </c>
    </row>
    <row r="69" spans="1:2" x14ac:dyDescent="0.25">
      <c r="A69" s="2">
        <v>68</v>
      </c>
      <c r="B69" s="2">
        <v>49</v>
      </c>
    </row>
    <row r="70" spans="1:2" x14ac:dyDescent="0.25">
      <c r="A70" s="2">
        <v>69</v>
      </c>
      <c r="B70" s="2">
        <v>45</v>
      </c>
    </row>
    <row r="71" spans="1:2" x14ac:dyDescent="0.25">
      <c r="A71" s="2">
        <v>70</v>
      </c>
      <c r="B71" s="2">
        <v>91</v>
      </c>
    </row>
    <row r="72" spans="1:2" x14ac:dyDescent="0.25">
      <c r="A72" s="2">
        <v>71</v>
      </c>
      <c r="B72" s="2">
        <v>56</v>
      </c>
    </row>
    <row r="73" spans="1:2" x14ac:dyDescent="0.25">
      <c r="A73" s="2">
        <v>72</v>
      </c>
      <c r="B73" s="2">
        <v>73</v>
      </c>
    </row>
    <row r="74" spans="1:2" x14ac:dyDescent="0.25">
      <c r="A74" s="2">
        <v>73</v>
      </c>
      <c r="B74" s="2">
        <v>58</v>
      </c>
    </row>
    <row r="75" spans="1:2" x14ac:dyDescent="0.25">
      <c r="A75" s="2">
        <v>74</v>
      </c>
      <c r="B75" s="2">
        <v>74</v>
      </c>
    </row>
    <row r="76" spans="1:2" x14ac:dyDescent="0.25">
      <c r="A76" s="2">
        <v>75</v>
      </c>
      <c r="B76" s="2">
        <v>44</v>
      </c>
    </row>
    <row r="77" spans="1:2" x14ac:dyDescent="0.25">
      <c r="A77" s="2">
        <v>76</v>
      </c>
      <c r="B77" s="2">
        <v>64</v>
      </c>
    </row>
    <row r="78" spans="1:2" x14ac:dyDescent="0.25">
      <c r="A78" s="2">
        <v>77</v>
      </c>
      <c r="B78" s="2">
        <v>52</v>
      </c>
    </row>
    <row r="79" spans="1:2" x14ac:dyDescent="0.25">
      <c r="A79" s="2">
        <v>78</v>
      </c>
      <c r="B79" s="2">
        <v>80</v>
      </c>
    </row>
    <row r="80" spans="1:2" x14ac:dyDescent="0.25">
      <c r="A80" s="2">
        <v>79</v>
      </c>
      <c r="B80" s="2">
        <v>93</v>
      </c>
    </row>
    <row r="81" spans="1:2" x14ac:dyDescent="0.25">
      <c r="A81" s="2">
        <v>80</v>
      </c>
      <c r="B81" s="2">
        <v>77</v>
      </c>
    </row>
    <row r="82" spans="1:2" x14ac:dyDescent="0.25">
      <c r="A82" s="2">
        <v>81</v>
      </c>
      <c r="B82" s="2">
        <v>52</v>
      </c>
    </row>
    <row r="83" spans="1:2" x14ac:dyDescent="0.25">
      <c r="A83" s="2">
        <v>82</v>
      </c>
      <c r="B83" s="2">
        <v>59</v>
      </c>
    </row>
    <row r="84" spans="1:2" x14ac:dyDescent="0.25">
      <c r="A84" s="2">
        <v>83</v>
      </c>
      <c r="B84" s="2">
        <v>71</v>
      </c>
    </row>
    <row r="85" spans="1:2" x14ac:dyDescent="0.25">
      <c r="A85" s="2">
        <v>84</v>
      </c>
      <c r="B85" s="2">
        <v>66</v>
      </c>
    </row>
    <row r="86" spans="1:2" x14ac:dyDescent="0.25">
      <c r="A86" s="2">
        <v>85</v>
      </c>
      <c r="B86" s="2">
        <v>61</v>
      </c>
    </row>
    <row r="87" spans="1:2" x14ac:dyDescent="0.25">
      <c r="A87" s="2">
        <v>86</v>
      </c>
      <c r="B87" s="2">
        <v>68</v>
      </c>
    </row>
    <row r="88" spans="1:2" x14ac:dyDescent="0.25">
      <c r="A88" s="2">
        <v>87</v>
      </c>
      <c r="B88" s="2">
        <v>41</v>
      </c>
    </row>
    <row r="89" spans="1:2" x14ac:dyDescent="0.25">
      <c r="A89" s="2">
        <v>88</v>
      </c>
      <c r="B89" s="2">
        <v>47</v>
      </c>
    </row>
    <row r="90" spans="1:2" x14ac:dyDescent="0.25">
      <c r="A90" s="2">
        <v>89</v>
      </c>
      <c r="B90" s="2">
        <v>64</v>
      </c>
    </row>
    <row r="91" spans="1:2" x14ac:dyDescent="0.25">
      <c r="A91" s="2">
        <v>90</v>
      </c>
      <c r="B91" s="2">
        <v>91</v>
      </c>
    </row>
    <row r="92" spans="1:2" x14ac:dyDescent="0.25">
      <c r="A92" s="2">
        <v>91</v>
      </c>
      <c r="B92" s="2">
        <v>65</v>
      </c>
    </row>
    <row r="93" spans="1:2" x14ac:dyDescent="0.25">
      <c r="A93" s="2">
        <v>92</v>
      </c>
      <c r="B93" s="2">
        <v>94</v>
      </c>
    </row>
    <row r="94" spans="1:2" x14ac:dyDescent="0.25">
      <c r="A94" s="2">
        <v>93</v>
      </c>
      <c r="B94" s="2">
        <v>48</v>
      </c>
    </row>
    <row r="95" spans="1:2" x14ac:dyDescent="0.25">
      <c r="A95" s="2">
        <v>94</v>
      </c>
      <c r="B95" s="2">
        <v>43</v>
      </c>
    </row>
    <row r="96" spans="1:2" x14ac:dyDescent="0.25">
      <c r="A96" s="2">
        <v>95</v>
      </c>
      <c r="B96" s="2">
        <v>71</v>
      </c>
    </row>
    <row r="97" spans="1:2" x14ac:dyDescent="0.25">
      <c r="A97" s="2">
        <v>96</v>
      </c>
      <c r="B97" s="2">
        <v>73</v>
      </c>
    </row>
    <row r="98" spans="1:2" x14ac:dyDescent="0.25">
      <c r="A98" s="2">
        <v>97</v>
      </c>
      <c r="B98" s="2">
        <v>87</v>
      </c>
    </row>
    <row r="99" spans="1:2" x14ac:dyDescent="0.25">
      <c r="A99" s="2">
        <v>98</v>
      </c>
      <c r="B99" s="2">
        <v>69</v>
      </c>
    </row>
    <row r="100" spans="1:2" x14ac:dyDescent="0.25">
      <c r="A100" s="2">
        <v>99</v>
      </c>
      <c r="B100" s="2">
        <v>75</v>
      </c>
    </row>
    <row r="101" spans="1:2" x14ac:dyDescent="0.25">
      <c r="A101" s="2">
        <v>100</v>
      </c>
      <c r="B101" s="2">
        <v>67</v>
      </c>
    </row>
  </sheetData>
  <sortState xmlns:xlrd2="http://schemas.microsoft.com/office/spreadsheetml/2017/richdata2" ref="I2:I9">
    <sortCondition ref="I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FC45-E6C5-4F70-BFE2-8B3C95426D36}">
  <dimension ref="A1:G7"/>
  <sheetViews>
    <sheetView workbookViewId="0">
      <selection activeCell="Z26" sqref="Z26"/>
    </sheetView>
  </sheetViews>
  <sheetFormatPr defaultRowHeight="15" x14ac:dyDescent="0.25"/>
  <cols>
    <col min="1" max="1" width="10.5703125" bestFit="1" customWidth="1"/>
    <col min="6" max="6" width="20.7109375" bestFit="1" customWidth="1"/>
    <col min="7" max="7" width="15" bestFit="1" customWidth="1"/>
  </cols>
  <sheetData>
    <row r="1" spans="1:7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17</v>
      </c>
      <c r="G1" s="1" t="s">
        <v>18</v>
      </c>
    </row>
    <row r="2" spans="1:7" x14ac:dyDescent="0.25">
      <c r="A2" s="2" t="s">
        <v>10</v>
      </c>
      <c r="B2" s="2">
        <v>818</v>
      </c>
      <c r="C2" s="2">
        <v>604</v>
      </c>
      <c r="D2" s="2">
        <v>700</v>
      </c>
      <c r="E2" s="2">
        <v>500</v>
      </c>
      <c r="F2" s="2">
        <f>SUM(B2:E2)</f>
        <v>2622</v>
      </c>
      <c r="G2" s="2">
        <f>ROUND((F2/F7)*100,2)</f>
        <v>18.89</v>
      </c>
    </row>
    <row r="3" spans="1:7" x14ac:dyDescent="0.25">
      <c r="A3" s="2" t="s">
        <v>11</v>
      </c>
      <c r="B3" s="2">
        <v>671</v>
      </c>
      <c r="C3" s="2">
        <v>619</v>
      </c>
      <c r="D3" s="2">
        <v>677</v>
      </c>
      <c r="E3" s="2">
        <v>703</v>
      </c>
      <c r="F3" s="2">
        <f t="shared" ref="F3:F6" si="0">SUM(B3:E3)</f>
        <v>2670</v>
      </c>
      <c r="G3" s="2">
        <f>ROUND((F3/F7)*100,2)</f>
        <v>19.23</v>
      </c>
    </row>
    <row r="4" spans="1:7" x14ac:dyDescent="0.25">
      <c r="A4" s="2" t="s">
        <v>12</v>
      </c>
      <c r="B4" s="2">
        <v>512</v>
      </c>
      <c r="C4" s="2">
        <v>809</v>
      </c>
      <c r="D4" s="2">
        <v>875</v>
      </c>
      <c r="E4" s="2">
        <v>630</v>
      </c>
      <c r="F4" s="2">
        <f t="shared" si="0"/>
        <v>2826</v>
      </c>
      <c r="G4" s="2">
        <f>ROUND((F4/F7)*100,2)</f>
        <v>20.36</v>
      </c>
    </row>
    <row r="5" spans="1:7" x14ac:dyDescent="0.25">
      <c r="A5" s="2" t="s">
        <v>13</v>
      </c>
      <c r="B5" s="2">
        <v>631</v>
      </c>
      <c r="C5" s="2">
        <v>603</v>
      </c>
      <c r="D5" s="2">
        <v>756</v>
      </c>
      <c r="E5" s="2">
        <v>625</v>
      </c>
      <c r="F5" s="2">
        <f t="shared" si="0"/>
        <v>2615</v>
      </c>
      <c r="G5" s="2">
        <f>ROUND((F5/F7)*100,2)</f>
        <v>18.84</v>
      </c>
    </row>
    <row r="6" spans="1:7" x14ac:dyDescent="0.25">
      <c r="A6" s="2" t="s">
        <v>14</v>
      </c>
      <c r="B6" s="2">
        <v>809</v>
      </c>
      <c r="C6" s="2">
        <v>872</v>
      </c>
      <c r="D6" s="2">
        <v>739</v>
      </c>
      <c r="E6" s="2">
        <v>729</v>
      </c>
      <c r="F6" s="2">
        <f t="shared" si="0"/>
        <v>3149</v>
      </c>
      <c r="G6" s="2">
        <f>ROUND((F6/F7)*100,2)</f>
        <v>22.68</v>
      </c>
    </row>
    <row r="7" spans="1:7" x14ac:dyDescent="0.25">
      <c r="A7" s="25" t="s">
        <v>19</v>
      </c>
      <c r="B7" s="25"/>
      <c r="C7" s="25"/>
      <c r="D7" s="25"/>
      <c r="E7" s="25"/>
      <c r="F7" s="2">
        <f>SUM(F2:F6)</f>
        <v>13882</v>
      </c>
      <c r="G7" s="2"/>
    </row>
  </sheetData>
  <mergeCells count="1">
    <mergeCell ref="A7:E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8442-5D32-422C-B32F-79CEFE7D9955}">
  <dimension ref="A1:C25"/>
  <sheetViews>
    <sheetView zoomScale="90" zoomScaleNormal="90" workbookViewId="0">
      <selection activeCell="AE20" sqref="AE20"/>
    </sheetView>
  </sheetViews>
  <sheetFormatPr defaultRowHeight="15" x14ac:dyDescent="0.25"/>
  <cols>
    <col min="2" max="2" width="12.7109375" bestFit="1" customWidth="1"/>
    <col min="3" max="3" width="14.7109375" bestFit="1" customWidth="1"/>
  </cols>
  <sheetData>
    <row r="1" spans="1:3" x14ac:dyDescent="0.25">
      <c r="A1" s="3" t="s">
        <v>8</v>
      </c>
      <c r="B1" s="3" t="s">
        <v>9</v>
      </c>
      <c r="C1" s="1" t="s">
        <v>20</v>
      </c>
    </row>
    <row r="2" spans="1:3" x14ac:dyDescent="0.25">
      <c r="A2" s="6">
        <v>45292</v>
      </c>
      <c r="B2" s="2">
        <v>3235</v>
      </c>
      <c r="C2" s="2">
        <f>B2</f>
        <v>3235</v>
      </c>
    </row>
    <row r="3" spans="1:3" x14ac:dyDescent="0.25">
      <c r="A3" s="6">
        <v>45323</v>
      </c>
      <c r="B3" s="2">
        <v>8274</v>
      </c>
      <c r="C3" s="2">
        <f>C2+B3</f>
        <v>11509</v>
      </c>
    </row>
    <row r="4" spans="1:3" x14ac:dyDescent="0.25">
      <c r="A4" s="6">
        <v>45352</v>
      </c>
      <c r="B4" s="2">
        <v>3775</v>
      </c>
      <c r="C4" s="2">
        <f t="shared" ref="C4:C25" si="0">C3+B4</f>
        <v>15284</v>
      </c>
    </row>
    <row r="5" spans="1:3" x14ac:dyDescent="0.25">
      <c r="A5" s="6">
        <v>45383</v>
      </c>
      <c r="B5" s="2">
        <v>7037</v>
      </c>
      <c r="C5" s="2">
        <f t="shared" si="0"/>
        <v>22321</v>
      </c>
    </row>
    <row r="6" spans="1:3" x14ac:dyDescent="0.25">
      <c r="A6" s="6">
        <v>45413</v>
      </c>
      <c r="B6" s="2">
        <v>7452</v>
      </c>
      <c r="C6" s="2">
        <f t="shared" si="0"/>
        <v>29773</v>
      </c>
    </row>
    <row r="7" spans="1:3" x14ac:dyDescent="0.25">
      <c r="A7" s="6">
        <v>45444</v>
      </c>
      <c r="B7" s="2">
        <v>7307</v>
      </c>
      <c r="C7" s="2">
        <f t="shared" si="0"/>
        <v>37080</v>
      </c>
    </row>
    <row r="8" spans="1:3" x14ac:dyDescent="0.25">
      <c r="A8" s="6">
        <v>45474</v>
      </c>
      <c r="B8" s="2">
        <v>3442</v>
      </c>
      <c r="C8" s="2">
        <f t="shared" si="0"/>
        <v>40522</v>
      </c>
    </row>
    <row r="9" spans="1:3" x14ac:dyDescent="0.25">
      <c r="A9" s="6">
        <v>45505</v>
      </c>
      <c r="B9" s="2">
        <v>4485</v>
      </c>
      <c r="C9" s="2">
        <f t="shared" si="0"/>
        <v>45007</v>
      </c>
    </row>
    <row r="10" spans="1:3" x14ac:dyDescent="0.25">
      <c r="A10" s="6">
        <v>45536</v>
      </c>
      <c r="B10" s="2">
        <v>3495</v>
      </c>
      <c r="C10" s="2">
        <f t="shared" si="0"/>
        <v>48502</v>
      </c>
    </row>
    <row r="11" spans="1:3" x14ac:dyDescent="0.25">
      <c r="A11" s="6">
        <v>45566</v>
      </c>
      <c r="B11" s="2">
        <v>6722</v>
      </c>
      <c r="C11" s="2">
        <f t="shared" si="0"/>
        <v>55224</v>
      </c>
    </row>
    <row r="12" spans="1:3" x14ac:dyDescent="0.25">
      <c r="A12" s="6">
        <v>45597</v>
      </c>
      <c r="B12" s="2">
        <v>5512</v>
      </c>
      <c r="C12" s="2">
        <f t="shared" si="0"/>
        <v>60736</v>
      </c>
    </row>
    <row r="13" spans="1:3" x14ac:dyDescent="0.25">
      <c r="A13" s="6">
        <v>45627</v>
      </c>
      <c r="B13" s="2">
        <v>6182</v>
      </c>
      <c r="C13" s="2">
        <f t="shared" si="0"/>
        <v>66918</v>
      </c>
    </row>
    <row r="14" spans="1:3" x14ac:dyDescent="0.25">
      <c r="A14" s="6">
        <v>45658</v>
      </c>
      <c r="B14" s="2">
        <v>5501</v>
      </c>
      <c r="C14" s="2">
        <f t="shared" si="0"/>
        <v>72419</v>
      </c>
    </row>
    <row r="15" spans="1:3" x14ac:dyDescent="0.25">
      <c r="A15" s="6">
        <v>45689</v>
      </c>
      <c r="B15" s="2">
        <v>7869</v>
      </c>
      <c r="C15" s="2">
        <f t="shared" si="0"/>
        <v>80288</v>
      </c>
    </row>
    <row r="16" spans="1:3" x14ac:dyDescent="0.25">
      <c r="A16" s="6">
        <v>45717</v>
      </c>
      <c r="B16" s="2">
        <v>6862</v>
      </c>
      <c r="C16" s="2">
        <f t="shared" si="0"/>
        <v>87150</v>
      </c>
    </row>
    <row r="17" spans="1:3" x14ac:dyDescent="0.25">
      <c r="A17" s="6">
        <v>45748</v>
      </c>
      <c r="B17" s="2">
        <v>6267</v>
      </c>
      <c r="C17" s="2">
        <f t="shared" si="0"/>
        <v>93417</v>
      </c>
    </row>
    <row r="18" spans="1:3" x14ac:dyDescent="0.25">
      <c r="A18" s="6">
        <v>45778</v>
      </c>
      <c r="B18" s="2">
        <v>3550</v>
      </c>
      <c r="C18" s="2">
        <f t="shared" si="0"/>
        <v>96967</v>
      </c>
    </row>
    <row r="19" spans="1:3" x14ac:dyDescent="0.25">
      <c r="A19" s="6">
        <v>45809</v>
      </c>
      <c r="B19" s="2">
        <v>4245</v>
      </c>
      <c r="C19" s="2">
        <f t="shared" si="0"/>
        <v>101212</v>
      </c>
    </row>
    <row r="20" spans="1:3" x14ac:dyDescent="0.25">
      <c r="A20" s="6">
        <v>45839</v>
      </c>
      <c r="B20" s="2">
        <v>7518</v>
      </c>
      <c r="C20" s="2">
        <f t="shared" si="0"/>
        <v>108730</v>
      </c>
    </row>
    <row r="21" spans="1:3" x14ac:dyDescent="0.25">
      <c r="A21" s="6">
        <v>45870</v>
      </c>
      <c r="B21" s="2">
        <v>7775</v>
      </c>
      <c r="C21" s="2">
        <f t="shared" si="0"/>
        <v>116505</v>
      </c>
    </row>
    <row r="22" spans="1:3" x14ac:dyDescent="0.25">
      <c r="A22" s="6">
        <v>45901</v>
      </c>
      <c r="B22" s="2">
        <v>4645</v>
      </c>
      <c r="C22" s="2">
        <f t="shared" si="0"/>
        <v>121150</v>
      </c>
    </row>
    <row r="23" spans="1:3" x14ac:dyDescent="0.25">
      <c r="A23" s="6">
        <v>45931</v>
      </c>
      <c r="B23" s="2">
        <v>7656</v>
      </c>
      <c r="C23" s="2">
        <f t="shared" si="0"/>
        <v>128806</v>
      </c>
    </row>
    <row r="24" spans="1:3" x14ac:dyDescent="0.25">
      <c r="A24" s="6">
        <v>45962</v>
      </c>
      <c r="B24" s="2">
        <v>7696</v>
      </c>
      <c r="C24" s="2">
        <f t="shared" si="0"/>
        <v>136502</v>
      </c>
    </row>
    <row r="25" spans="1:3" x14ac:dyDescent="0.25">
      <c r="A25" s="6">
        <v>45992</v>
      </c>
      <c r="B25" s="2">
        <v>5882</v>
      </c>
      <c r="C25" s="2">
        <f t="shared" si="0"/>
        <v>142384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07D0-688E-4DDD-9E22-4AC9DD9F7FDE}">
  <dimension ref="A1:P296"/>
  <sheetViews>
    <sheetView workbookViewId="0">
      <selection activeCell="Q52" sqref="Q52"/>
    </sheetView>
  </sheetViews>
  <sheetFormatPr defaultRowHeight="15" x14ac:dyDescent="0.25"/>
  <cols>
    <col min="1" max="1" width="14.140625" bestFit="1" customWidth="1"/>
    <col min="2" max="2" width="23.140625" bestFit="1" customWidth="1"/>
    <col min="3" max="3" width="9.28515625" bestFit="1" customWidth="1"/>
    <col min="4" max="4" width="6.42578125" bestFit="1" customWidth="1"/>
    <col min="5" max="5" width="20.28515625" bestFit="1" customWidth="1"/>
    <col min="6" max="6" width="9" bestFit="1" customWidth="1"/>
    <col min="7" max="7" width="11.140625" bestFit="1" customWidth="1"/>
    <col min="8" max="8" width="10.5703125" bestFit="1" customWidth="1"/>
    <col min="9" max="9" width="11.85546875" bestFit="1" customWidth="1"/>
    <col min="10" max="10" width="15.42578125" bestFit="1" customWidth="1"/>
    <col min="11" max="11" width="18.140625" bestFit="1" customWidth="1"/>
    <col min="12" max="12" width="15.85546875" bestFit="1" customWidth="1"/>
    <col min="13" max="13" width="17.7109375" bestFit="1" customWidth="1"/>
    <col min="15" max="15" width="12.5703125" bestFit="1" customWidth="1"/>
    <col min="16" max="16" width="19.7109375" bestFit="1" customWidth="1"/>
  </cols>
  <sheetData>
    <row r="1" spans="1:1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O1" s="8" t="s">
        <v>34</v>
      </c>
      <c r="P1" t="s">
        <v>35</v>
      </c>
    </row>
    <row r="2" spans="1:16" x14ac:dyDescent="0.25">
      <c r="A2" t="s">
        <v>36</v>
      </c>
      <c r="B2" t="s">
        <v>37</v>
      </c>
      <c r="C2" t="s">
        <v>38</v>
      </c>
      <c r="D2">
        <v>58</v>
      </c>
      <c r="E2" t="s">
        <v>39</v>
      </c>
      <c r="F2" t="s">
        <v>40</v>
      </c>
      <c r="G2" t="s">
        <v>41</v>
      </c>
      <c r="H2">
        <v>2</v>
      </c>
      <c r="I2">
        <v>98.77</v>
      </c>
      <c r="J2">
        <v>197.54</v>
      </c>
      <c r="K2">
        <v>5.58</v>
      </c>
      <c r="L2" s="7">
        <v>45946</v>
      </c>
      <c r="M2" t="str">
        <f>TEXT(customer_demographic_sales_data[[#This Row],[Purchase_Date]],"YYYY-MM")</f>
        <v>2025-10</v>
      </c>
      <c r="O2" s="9" t="s">
        <v>42</v>
      </c>
      <c r="P2">
        <v>0</v>
      </c>
    </row>
    <row r="3" spans="1:16" x14ac:dyDescent="0.25">
      <c r="A3" t="s">
        <v>43</v>
      </c>
      <c r="B3" t="s">
        <v>44</v>
      </c>
      <c r="C3" t="s">
        <v>38</v>
      </c>
      <c r="D3">
        <v>24</v>
      </c>
      <c r="E3" t="s">
        <v>45</v>
      </c>
      <c r="F3" t="s">
        <v>46</v>
      </c>
      <c r="G3" t="s">
        <v>47</v>
      </c>
      <c r="H3">
        <v>9</v>
      </c>
      <c r="I3">
        <v>219.53</v>
      </c>
      <c r="J3">
        <v>1975.77</v>
      </c>
      <c r="K3">
        <v>3.75</v>
      </c>
      <c r="L3" s="7">
        <v>45813</v>
      </c>
      <c r="M3" t="str">
        <f>TEXT(customer_demographic_sales_data[[#This Row],[Purchase_Date]],"YYYY-MM")</f>
        <v>2025-06</v>
      </c>
      <c r="O3" s="9" t="s">
        <v>48</v>
      </c>
      <c r="P3">
        <v>-1500</v>
      </c>
    </row>
    <row r="4" spans="1:16" x14ac:dyDescent="0.25">
      <c r="A4" t="s">
        <v>49</v>
      </c>
      <c r="B4" t="s">
        <v>50</v>
      </c>
      <c r="C4" t="s">
        <v>51</v>
      </c>
      <c r="D4">
        <v>32</v>
      </c>
      <c r="E4" t="s">
        <v>52</v>
      </c>
      <c r="F4" t="s">
        <v>40</v>
      </c>
      <c r="G4" t="s">
        <v>53</v>
      </c>
      <c r="H4">
        <v>9</v>
      </c>
      <c r="I4">
        <v>1223.94</v>
      </c>
      <c r="J4">
        <v>11015.46</v>
      </c>
      <c r="K4">
        <v>26</v>
      </c>
      <c r="L4" s="7">
        <v>45637</v>
      </c>
      <c r="M4" t="str">
        <f>TEXT(customer_demographic_sales_data[[#This Row],[Purchase_Date]],"YYYY-MM")</f>
        <v>2024-12</v>
      </c>
      <c r="O4" s="9" t="s">
        <v>54</v>
      </c>
      <c r="P4">
        <v>2400</v>
      </c>
    </row>
    <row r="5" spans="1:16" x14ac:dyDescent="0.25">
      <c r="A5" t="s">
        <v>55</v>
      </c>
      <c r="B5" t="s">
        <v>56</v>
      </c>
      <c r="C5" t="s">
        <v>51</v>
      </c>
      <c r="D5">
        <v>52</v>
      </c>
      <c r="E5" t="s">
        <v>57</v>
      </c>
      <c r="F5" t="s">
        <v>58</v>
      </c>
      <c r="G5" t="s">
        <v>47</v>
      </c>
      <c r="H5">
        <v>7</v>
      </c>
      <c r="I5">
        <v>479.86</v>
      </c>
      <c r="J5">
        <v>3359.02</v>
      </c>
      <c r="K5">
        <v>30.35</v>
      </c>
      <c r="L5" s="7">
        <v>45588</v>
      </c>
      <c r="M5" t="str">
        <f>TEXT(customer_demographic_sales_data[[#This Row],[Purchase_Date]],"YYYY-MM")</f>
        <v>2024-10</v>
      </c>
      <c r="O5" s="9" t="s">
        <v>59</v>
      </c>
      <c r="P5">
        <v>1000</v>
      </c>
    </row>
    <row r="6" spans="1:16" x14ac:dyDescent="0.25">
      <c r="A6" t="s">
        <v>60</v>
      </c>
      <c r="B6" t="s">
        <v>61</v>
      </c>
      <c r="C6" t="s">
        <v>62</v>
      </c>
      <c r="D6">
        <v>28</v>
      </c>
      <c r="E6" t="s">
        <v>63</v>
      </c>
      <c r="F6" t="s">
        <v>40</v>
      </c>
      <c r="G6" t="s">
        <v>64</v>
      </c>
      <c r="H6">
        <v>7</v>
      </c>
      <c r="I6">
        <v>713.49</v>
      </c>
      <c r="J6">
        <v>4994.43</v>
      </c>
      <c r="K6">
        <v>4.09</v>
      </c>
      <c r="L6" s="7">
        <v>46047</v>
      </c>
      <c r="M6" t="str">
        <f>TEXT(customer_demographic_sales_data[[#This Row],[Purchase_Date]],"YYYY-MM")</f>
        <v>2026-01</v>
      </c>
      <c r="O6" s="9" t="s">
        <v>65</v>
      </c>
      <c r="P6">
        <v>3200</v>
      </c>
    </row>
    <row r="7" spans="1:16" x14ac:dyDescent="0.25">
      <c r="A7" t="s">
        <v>66</v>
      </c>
      <c r="B7" t="s">
        <v>67</v>
      </c>
      <c r="C7" t="s">
        <v>38</v>
      </c>
      <c r="D7">
        <v>42</v>
      </c>
      <c r="E7" t="s">
        <v>68</v>
      </c>
      <c r="F7" t="s">
        <v>58</v>
      </c>
      <c r="G7" t="s">
        <v>47</v>
      </c>
      <c r="H7">
        <v>2</v>
      </c>
      <c r="I7">
        <v>750.01</v>
      </c>
      <c r="J7">
        <v>1500.02</v>
      </c>
      <c r="K7">
        <v>29.19</v>
      </c>
      <c r="L7" s="7">
        <v>46065</v>
      </c>
      <c r="M7" t="str">
        <f>TEXT(customer_demographic_sales_data[[#This Row],[Purchase_Date]],"YYYY-MM")</f>
        <v>2026-02</v>
      </c>
      <c r="O7" s="9" t="s">
        <v>69</v>
      </c>
      <c r="P7">
        <v>67939.790000000008</v>
      </c>
    </row>
    <row r="8" spans="1:16" x14ac:dyDescent="0.25">
      <c r="A8" t="s">
        <v>70</v>
      </c>
      <c r="B8" t="s">
        <v>71</v>
      </c>
      <c r="C8" t="s">
        <v>38</v>
      </c>
      <c r="D8">
        <v>52</v>
      </c>
      <c r="E8" t="s">
        <v>72</v>
      </c>
      <c r="F8" t="s">
        <v>46</v>
      </c>
      <c r="G8" t="s">
        <v>73</v>
      </c>
      <c r="H8">
        <v>2</v>
      </c>
      <c r="I8">
        <v>1947.58</v>
      </c>
      <c r="J8">
        <v>3895.16</v>
      </c>
      <c r="K8">
        <v>11.73</v>
      </c>
      <c r="L8" s="7">
        <v>45934</v>
      </c>
      <c r="M8" t="str">
        <f>TEXT(customer_demographic_sales_data[[#This Row],[Purchase_Date]],"YYYY-MM")</f>
        <v>2025-10</v>
      </c>
      <c r="O8" s="9" t="s">
        <v>74</v>
      </c>
      <c r="P8">
        <v>70224.78</v>
      </c>
    </row>
    <row r="9" spans="1:16" x14ac:dyDescent="0.25">
      <c r="A9" t="s">
        <v>75</v>
      </c>
      <c r="B9" t="s">
        <v>76</v>
      </c>
      <c r="C9" t="s">
        <v>38</v>
      </c>
      <c r="D9">
        <v>58</v>
      </c>
      <c r="E9" t="s">
        <v>77</v>
      </c>
      <c r="F9" t="s">
        <v>40</v>
      </c>
      <c r="G9" t="s">
        <v>53</v>
      </c>
      <c r="H9">
        <v>10</v>
      </c>
      <c r="I9">
        <v>1776.63</v>
      </c>
      <c r="J9">
        <v>17766.3</v>
      </c>
      <c r="K9">
        <v>2.78</v>
      </c>
      <c r="L9" s="7">
        <v>45636</v>
      </c>
      <c r="M9" t="str">
        <f>TEXT(customer_demographic_sales_data[[#This Row],[Purchase_Date]],"YYYY-MM")</f>
        <v>2024-12</v>
      </c>
      <c r="O9" s="9" t="s">
        <v>78</v>
      </c>
      <c r="P9">
        <v>74054.819999999992</v>
      </c>
    </row>
    <row r="10" spans="1:16" x14ac:dyDescent="0.25">
      <c r="A10" t="s">
        <v>79</v>
      </c>
      <c r="B10" t="s">
        <v>80</v>
      </c>
      <c r="C10" t="s">
        <v>62</v>
      </c>
      <c r="D10">
        <v>60</v>
      </c>
      <c r="E10" t="s">
        <v>81</v>
      </c>
      <c r="F10" t="s">
        <v>40</v>
      </c>
      <c r="G10" t="s">
        <v>47</v>
      </c>
      <c r="H10">
        <v>4</v>
      </c>
      <c r="I10">
        <v>1557.48</v>
      </c>
      <c r="J10">
        <v>6229.92</v>
      </c>
      <c r="K10">
        <v>15.21</v>
      </c>
      <c r="L10" s="7">
        <v>45966</v>
      </c>
      <c r="M10" t="str">
        <f>TEXT(customer_demographic_sales_data[[#This Row],[Purchase_Date]],"YYYY-MM")</f>
        <v>2025-11</v>
      </c>
      <c r="O10" s="9" t="s">
        <v>82</v>
      </c>
      <c r="P10">
        <v>85413.91</v>
      </c>
    </row>
    <row r="11" spans="1:16" x14ac:dyDescent="0.25">
      <c r="A11" t="s">
        <v>83</v>
      </c>
      <c r="B11" t="s">
        <v>84</v>
      </c>
      <c r="C11" t="s">
        <v>38</v>
      </c>
      <c r="D11">
        <v>47</v>
      </c>
      <c r="E11" t="s">
        <v>85</v>
      </c>
      <c r="F11" t="s">
        <v>40</v>
      </c>
      <c r="G11" t="s">
        <v>53</v>
      </c>
      <c r="H11">
        <v>6</v>
      </c>
      <c r="I11">
        <v>367.18</v>
      </c>
      <c r="J11">
        <v>2203.08</v>
      </c>
      <c r="K11">
        <v>10.68</v>
      </c>
      <c r="L11" s="7">
        <v>45547</v>
      </c>
      <c r="M11" t="str">
        <f>TEXT(customer_demographic_sales_data[[#This Row],[Purchase_Date]],"YYYY-MM")</f>
        <v>2024-09</v>
      </c>
      <c r="O11" s="9" t="s">
        <v>86</v>
      </c>
      <c r="P11">
        <v>44889.55</v>
      </c>
    </row>
    <row r="12" spans="1:16" x14ac:dyDescent="0.25">
      <c r="A12" t="s">
        <v>87</v>
      </c>
      <c r="B12" t="s">
        <v>88</v>
      </c>
      <c r="C12" t="s">
        <v>62</v>
      </c>
      <c r="D12">
        <v>61</v>
      </c>
      <c r="E12" t="s">
        <v>89</v>
      </c>
      <c r="F12" t="s">
        <v>40</v>
      </c>
      <c r="G12" t="s">
        <v>41</v>
      </c>
      <c r="H12">
        <v>2</v>
      </c>
      <c r="I12">
        <v>1237.81</v>
      </c>
      <c r="J12">
        <v>2475.62</v>
      </c>
      <c r="K12">
        <v>18.489999999999998</v>
      </c>
      <c r="L12" s="7">
        <v>46017</v>
      </c>
      <c r="M12" t="str">
        <f>TEXT(customer_demographic_sales_data[[#This Row],[Purchase_Date]],"YYYY-MM")</f>
        <v>2025-12</v>
      </c>
      <c r="O12" s="9" t="s">
        <v>90</v>
      </c>
      <c r="P12">
        <v>70560.539999999994</v>
      </c>
    </row>
    <row r="13" spans="1:16" x14ac:dyDescent="0.25">
      <c r="A13" t="s">
        <v>91</v>
      </c>
      <c r="B13" t="s">
        <v>92</v>
      </c>
      <c r="C13" t="s">
        <v>38</v>
      </c>
      <c r="D13">
        <v>35</v>
      </c>
      <c r="E13" t="s">
        <v>93</v>
      </c>
      <c r="F13" t="s">
        <v>46</v>
      </c>
      <c r="G13" t="s">
        <v>41</v>
      </c>
      <c r="H13">
        <v>9</v>
      </c>
      <c r="I13">
        <v>478.25</v>
      </c>
      <c r="J13">
        <v>4304.25</v>
      </c>
      <c r="K13">
        <v>32.869999999999997</v>
      </c>
      <c r="L13" s="7">
        <v>45584</v>
      </c>
      <c r="M13" t="str">
        <f>TEXT(customer_demographic_sales_data[[#This Row],[Purchase_Date]],"YYYY-MM")</f>
        <v>2024-10</v>
      </c>
      <c r="O13" s="9" t="s">
        <v>94</v>
      </c>
      <c r="P13">
        <v>121529.72</v>
      </c>
    </row>
    <row r="14" spans="1:16" x14ac:dyDescent="0.25">
      <c r="A14" t="s">
        <v>95</v>
      </c>
      <c r="B14" t="s">
        <v>96</v>
      </c>
      <c r="C14" t="s">
        <v>62</v>
      </c>
      <c r="D14">
        <v>69</v>
      </c>
      <c r="E14" t="s">
        <v>97</v>
      </c>
      <c r="F14" t="s">
        <v>40</v>
      </c>
      <c r="G14" t="s">
        <v>73</v>
      </c>
      <c r="H14">
        <v>6</v>
      </c>
      <c r="I14">
        <v>832.27</v>
      </c>
      <c r="J14">
        <v>4993.62</v>
      </c>
      <c r="K14">
        <v>35.049999999999997</v>
      </c>
      <c r="L14" s="7">
        <v>46108</v>
      </c>
      <c r="M14" t="str">
        <f>TEXT(customer_demographic_sales_data[[#This Row],[Purchase_Date]],"YYYY-MM")</f>
        <v>2026-03</v>
      </c>
      <c r="O14" s="9" t="s">
        <v>98</v>
      </c>
      <c r="P14">
        <v>120616.69000000002</v>
      </c>
    </row>
    <row r="15" spans="1:16" x14ac:dyDescent="0.25">
      <c r="A15" t="s">
        <v>99</v>
      </c>
      <c r="B15" t="s">
        <v>100</v>
      </c>
      <c r="C15" t="s">
        <v>38</v>
      </c>
      <c r="D15">
        <v>38</v>
      </c>
      <c r="E15" t="s">
        <v>101</v>
      </c>
      <c r="F15" t="s">
        <v>102</v>
      </c>
      <c r="G15" t="s">
        <v>41</v>
      </c>
      <c r="H15">
        <v>4</v>
      </c>
      <c r="I15">
        <v>1328.11</v>
      </c>
      <c r="J15">
        <v>5312.44</v>
      </c>
      <c r="K15">
        <v>10.6</v>
      </c>
      <c r="L15" s="7">
        <v>45625</v>
      </c>
      <c r="M15" t="str">
        <f>TEXT(customer_demographic_sales_data[[#This Row],[Purchase_Date]],"YYYY-MM")</f>
        <v>2024-11</v>
      </c>
      <c r="O15" s="9" t="s">
        <v>103</v>
      </c>
      <c r="P15">
        <v>82022.450000000012</v>
      </c>
    </row>
    <row r="16" spans="1:16" x14ac:dyDescent="0.25">
      <c r="A16" t="s">
        <v>104</v>
      </c>
      <c r="B16" t="s">
        <v>105</v>
      </c>
      <c r="C16" t="s">
        <v>51</v>
      </c>
      <c r="D16">
        <v>33</v>
      </c>
      <c r="E16" t="s">
        <v>106</v>
      </c>
      <c r="F16" t="s">
        <v>102</v>
      </c>
      <c r="G16" t="s">
        <v>73</v>
      </c>
      <c r="H16">
        <v>9</v>
      </c>
      <c r="I16">
        <v>1101.01</v>
      </c>
      <c r="J16">
        <v>9909.09</v>
      </c>
      <c r="K16">
        <v>15.98</v>
      </c>
      <c r="L16" s="7">
        <v>45816</v>
      </c>
      <c r="M16" t="str">
        <f>TEXT(customer_demographic_sales_data[[#This Row],[Purchase_Date]],"YYYY-MM")</f>
        <v>2025-06</v>
      </c>
      <c r="O16" s="9" t="s">
        <v>107</v>
      </c>
      <c r="P16">
        <v>60681.17</v>
      </c>
    </row>
    <row r="17" spans="1:16" x14ac:dyDescent="0.25">
      <c r="A17" t="s">
        <v>108</v>
      </c>
      <c r="B17" t="s">
        <v>109</v>
      </c>
      <c r="C17" t="s">
        <v>62</v>
      </c>
      <c r="D17">
        <v>32</v>
      </c>
      <c r="E17" t="s">
        <v>110</v>
      </c>
      <c r="F17" t="s">
        <v>46</v>
      </c>
      <c r="G17" t="s">
        <v>47</v>
      </c>
      <c r="H17">
        <v>3</v>
      </c>
      <c r="I17">
        <v>1043.58</v>
      </c>
      <c r="J17">
        <v>3130.74</v>
      </c>
      <c r="K17">
        <v>6.11</v>
      </c>
      <c r="L17" s="7">
        <v>45884</v>
      </c>
      <c r="M17" t="str">
        <f>TEXT(customer_demographic_sales_data[[#This Row],[Purchase_Date]],"YYYY-MM")</f>
        <v>2025-08</v>
      </c>
      <c r="O17" s="9" t="s">
        <v>111</v>
      </c>
      <c r="P17">
        <v>40003.980000000003</v>
      </c>
    </row>
    <row r="18" spans="1:16" x14ac:dyDescent="0.25">
      <c r="A18" t="s">
        <v>112</v>
      </c>
      <c r="B18" t="s">
        <v>113</v>
      </c>
      <c r="C18" t="s">
        <v>38</v>
      </c>
      <c r="D18">
        <v>28</v>
      </c>
      <c r="E18" t="s">
        <v>114</v>
      </c>
      <c r="F18" t="s">
        <v>102</v>
      </c>
      <c r="G18" t="s">
        <v>73</v>
      </c>
      <c r="H18">
        <v>7</v>
      </c>
      <c r="I18">
        <v>1213</v>
      </c>
      <c r="J18">
        <v>8491</v>
      </c>
      <c r="K18">
        <v>39.840000000000003</v>
      </c>
      <c r="L18" s="7">
        <v>45949</v>
      </c>
      <c r="M18" t="str">
        <f>TEXT(customer_demographic_sales_data[[#This Row],[Purchase_Date]],"YYYY-MM")</f>
        <v>2025-10</v>
      </c>
      <c r="O18" s="9" t="s">
        <v>115</v>
      </c>
      <c r="P18">
        <v>62178.340000000004</v>
      </c>
    </row>
    <row r="19" spans="1:16" x14ac:dyDescent="0.25">
      <c r="A19" t="s">
        <v>116</v>
      </c>
      <c r="B19" t="s">
        <v>117</v>
      </c>
      <c r="C19" t="s">
        <v>62</v>
      </c>
      <c r="D19">
        <v>51</v>
      </c>
      <c r="E19" t="s">
        <v>118</v>
      </c>
      <c r="F19" t="s">
        <v>46</v>
      </c>
      <c r="G19" t="s">
        <v>53</v>
      </c>
      <c r="H19">
        <v>5</v>
      </c>
      <c r="I19">
        <v>1943.6</v>
      </c>
      <c r="J19">
        <v>9718</v>
      </c>
      <c r="K19">
        <v>35.39</v>
      </c>
      <c r="L19" s="7">
        <v>45507</v>
      </c>
      <c r="M19" t="str">
        <f>TEXT(customer_demographic_sales_data[[#This Row],[Purchase_Date]],"YYYY-MM")</f>
        <v>2024-08</v>
      </c>
      <c r="O19" s="9" t="s">
        <v>119</v>
      </c>
      <c r="P19">
        <v>65562.94</v>
      </c>
    </row>
    <row r="20" spans="1:16" x14ac:dyDescent="0.25">
      <c r="A20" t="s">
        <v>120</v>
      </c>
      <c r="B20" t="s">
        <v>121</v>
      </c>
      <c r="C20" t="s">
        <v>38</v>
      </c>
      <c r="D20">
        <v>66</v>
      </c>
      <c r="E20" t="s">
        <v>122</v>
      </c>
      <c r="F20" t="s">
        <v>46</v>
      </c>
      <c r="G20" t="s">
        <v>64</v>
      </c>
      <c r="H20">
        <v>5</v>
      </c>
      <c r="I20">
        <v>1548.77</v>
      </c>
      <c r="J20">
        <v>7743.85</v>
      </c>
      <c r="K20">
        <v>17.39</v>
      </c>
      <c r="L20" s="7">
        <v>45815</v>
      </c>
      <c r="M20" t="str">
        <f>TEXT(customer_demographic_sales_data[[#This Row],[Purchase_Date]],"YYYY-MM")</f>
        <v>2025-06</v>
      </c>
      <c r="O20" s="9" t="s">
        <v>123</v>
      </c>
      <c r="P20">
        <v>58775.599999999991</v>
      </c>
    </row>
    <row r="21" spans="1:16" x14ac:dyDescent="0.25">
      <c r="A21" t="s">
        <v>124</v>
      </c>
      <c r="B21" t="s">
        <v>125</v>
      </c>
      <c r="C21" t="s">
        <v>51</v>
      </c>
      <c r="D21">
        <v>47</v>
      </c>
      <c r="E21" t="s">
        <v>126</v>
      </c>
      <c r="F21" t="s">
        <v>58</v>
      </c>
      <c r="G21" t="s">
        <v>73</v>
      </c>
      <c r="H21">
        <v>1</v>
      </c>
      <c r="I21">
        <v>1909.94</v>
      </c>
      <c r="J21">
        <v>1909.94</v>
      </c>
      <c r="K21">
        <v>30.48</v>
      </c>
      <c r="L21" s="7">
        <v>45546</v>
      </c>
      <c r="M21" t="str">
        <f>TEXT(customer_demographic_sales_data[[#This Row],[Purchase_Date]],"YYYY-MM")</f>
        <v>2024-09</v>
      </c>
      <c r="O21" s="9" t="s">
        <v>127</v>
      </c>
      <c r="P21">
        <v>47189.18</v>
      </c>
    </row>
    <row r="22" spans="1:16" x14ac:dyDescent="0.25">
      <c r="A22" t="s">
        <v>128</v>
      </c>
      <c r="B22" t="s">
        <v>129</v>
      </c>
      <c r="C22" t="s">
        <v>38</v>
      </c>
      <c r="D22">
        <v>50</v>
      </c>
      <c r="E22" t="s">
        <v>130</v>
      </c>
      <c r="F22" t="s">
        <v>40</v>
      </c>
      <c r="G22" t="s">
        <v>41</v>
      </c>
      <c r="H22">
        <v>2</v>
      </c>
      <c r="I22">
        <v>1747.51</v>
      </c>
      <c r="J22">
        <v>3495.02</v>
      </c>
      <c r="K22">
        <v>14.96</v>
      </c>
      <c r="L22" s="7">
        <v>45507</v>
      </c>
      <c r="M22" t="str">
        <f>TEXT(customer_demographic_sales_data[[#This Row],[Purchase_Date]],"YYYY-MM")</f>
        <v>2024-08</v>
      </c>
      <c r="O22" s="9" t="s">
        <v>131</v>
      </c>
      <c r="P22">
        <v>97175.549999999988</v>
      </c>
    </row>
    <row r="23" spans="1:16" x14ac:dyDescent="0.25">
      <c r="A23" t="s">
        <v>132</v>
      </c>
      <c r="B23" t="s">
        <v>133</v>
      </c>
      <c r="C23" t="s">
        <v>51</v>
      </c>
      <c r="D23">
        <v>28</v>
      </c>
      <c r="E23" t="s">
        <v>134</v>
      </c>
      <c r="F23" t="s">
        <v>46</v>
      </c>
      <c r="G23" t="s">
        <v>73</v>
      </c>
      <c r="H23">
        <v>9</v>
      </c>
      <c r="I23">
        <v>1909.32</v>
      </c>
      <c r="J23">
        <v>17183.88</v>
      </c>
      <c r="K23">
        <v>12.97</v>
      </c>
      <c r="L23" s="7">
        <v>46102</v>
      </c>
      <c r="M23" t="str">
        <f>TEXT(customer_demographic_sales_data[[#This Row],[Purchase_Date]],"YYYY-MM")</f>
        <v>2026-03</v>
      </c>
      <c r="O23" s="9" t="s">
        <v>135</v>
      </c>
      <c r="P23">
        <v>76424.600000000006</v>
      </c>
    </row>
    <row r="24" spans="1:16" x14ac:dyDescent="0.25">
      <c r="A24" t="s">
        <v>136</v>
      </c>
      <c r="B24" t="s">
        <v>137</v>
      </c>
      <c r="C24" t="s">
        <v>38</v>
      </c>
      <c r="D24">
        <v>19</v>
      </c>
      <c r="E24" t="s">
        <v>138</v>
      </c>
      <c r="F24" t="s">
        <v>40</v>
      </c>
      <c r="G24" t="s">
        <v>47</v>
      </c>
      <c r="H24">
        <v>2</v>
      </c>
      <c r="I24">
        <v>1861.74</v>
      </c>
      <c r="J24">
        <v>3723.48</v>
      </c>
      <c r="K24">
        <v>9.6300000000000008</v>
      </c>
      <c r="L24" s="7">
        <v>45520</v>
      </c>
      <c r="M24" t="str">
        <f>TEXT(customer_demographic_sales_data[[#This Row],[Purchase_Date]],"YYYY-MM")</f>
        <v>2024-08</v>
      </c>
      <c r="O24" s="9" t="s">
        <v>139</v>
      </c>
      <c r="P24">
        <v>115009.63</v>
      </c>
    </row>
    <row r="25" spans="1:16" x14ac:dyDescent="0.25">
      <c r="A25" t="s">
        <v>140</v>
      </c>
      <c r="B25" t="s">
        <v>141</v>
      </c>
      <c r="C25" t="s">
        <v>38</v>
      </c>
      <c r="D25">
        <v>54</v>
      </c>
      <c r="E25" t="s">
        <v>142</v>
      </c>
      <c r="F25" t="s">
        <v>46</v>
      </c>
      <c r="G25" t="s">
        <v>73</v>
      </c>
      <c r="H25">
        <v>2</v>
      </c>
      <c r="I25">
        <v>217.02</v>
      </c>
      <c r="J25">
        <v>434.04</v>
      </c>
      <c r="K25">
        <v>30.63</v>
      </c>
      <c r="L25" s="7">
        <v>46007</v>
      </c>
      <c r="M25" t="str">
        <f>TEXT(customer_demographic_sales_data[[#This Row],[Purchase_Date]],"YYYY-MM")</f>
        <v>2025-12</v>
      </c>
      <c r="O25" s="9" t="s">
        <v>143</v>
      </c>
      <c r="P25">
        <v>30967.440000000002</v>
      </c>
    </row>
    <row r="26" spans="1:16" x14ac:dyDescent="0.25">
      <c r="A26" t="s">
        <v>144</v>
      </c>
      <c r="B26" t="s">
        <v>145</v>
      </c>
      <c r="C26" t="s">
        <v>62</v>
      </c>
      <c r="D26">
        <v>26</v>
      </c>
      <c r="E26" t="s">
        <v>146</v>
      </c>
      <c r="F26" t="s">
        <v>58</v>
      </c>
      <c r="G26" t="s">
        <v>73</v>
      </c>
      <c r="H26">
        <v>8</v>
      </c>
      <c r="I26">
        <v>1896.35</v>
      </c>
      <c r="J26">
        <v>15170.8</v>
      </c>
      <c r="K26">
        <v>34.9</v>
      </c>
      <c r="L26" s="7">
        <v>45771</v>
      </c>
      <c r="M26" t="str">
        <f>TEXT(customer_demographic_sales_data[[#This Row],[Purchase_Date]],"YYYY-MM")</f>
        <v>2025-04</v>
      </c>
      <c r="O26" s="9" t="s">
        <v>147</v>
      </c>
      <c r="P26">
        <v>33853.58</v>
      </c>
    </row>
    <row r="27" spans="1:16" x14ac:dyDescent="0.25">
      <c r="A27" t="s">
        <v>148</v>
      </c>
      <c r="B27" t="s">
        <v>149</v>
      </c>
      <c r="C27" t="s">
        <v>51</v>
      </c>
      <c r="D27">
        <v>45</v>
      </c>
      <c r="E27" t="s">
        <v>150</v>
      </c>
      <c r="F27" t="s">
        <v>40</v>
      </c>
      <c r="G27" t="s">
        <v>53</v>
      </c>
      <c r="H27">
        <v>4</v>
      </c>
      <c r="I27">
        <v>1861.38</v>
      </c>
      <c r="J27">
        <v>7445.52</v>
      </c>
      <c r="K27">
        <v>12.47</v>
      </c>
      <c r="L27" s="7">
        <v>45476</v>
      </c>
      <c r="M27" t="str">
        <f>TEXT(customer_demographic_sales_data[[#This Row],[Purchase_Date]],"YYYY-MM")</f>
        <v>2024-07</v>
      </c>
      <c r="O27" s="9" t="s">
        <v>151</v>
      </c>
      <c r="P27">
        <v>127730.31</v>
      </c>
    </row>
    <row r="28" spans="1:16" x14ac:dyDescent="0.25">
      <c r="A28" t="s">
        <v>152</v>
      </c>
      <c r="B28" t="s">
        <v>153</v>
      </c>
      <c r="C28" t="s">
        <v>51</v>
      </c>
      <c r="D28">
        <v>60</v>
      </c>
      <c r="E28" t="s">
        <v>154</v>
      </c>
      <c r="F28" t="s">
        <v>102</v>
      </c>
      <c r="G28" t="s">
        <v>47</v>
      </c>
      <c r="H28">
        <v>6</v>
      </c>
      <c r="I28">
        <v>904.3</v>
      </c>
      <c r="J28">
        <v>5425.8</v>
      </c>
      <c r="K28">
        <v>9.92</v>
      </c>
      <c r="L28" s="7">
        <v>45605</v>
      </c>
      <c r="M28" t="str">
        <f>TEXT(customer_demographic_sales_data[[#This Row],[Purchase_Date]],"YYYY-MM")</f>
        <v>2024-11</v>
      </c>
      <c r="O28" s="9" t="s">
        <v>155</v>
      </c>
      <c r="P28">
        <v>47275.01</v>
      </c>
    </row>
    <row r="29" spans="1:16" x14ac:dyDescent="0.25">
      <c r="A29" t="s">
        <v>156</v>
      </c>
      <c r="B29" t="s">
        <v>157</v>
      </c>
      <c r="C29" t="s">
        <v>51</v>
      </c>
      <c r="D29">
        <v>22</v>
      </c>
      <c r="E29" t="s">
        <v>158</v>
      </c>
      <c r="F29" t="s">
        <v>40</v>
      </c>
      <c r="G29" t="s">
        <v>73</v>
      </c>
      <c r="H29">
        <v>6</v>
      </c>
      <c r="I29">
        <v>91.02</v>
      </c>
      <c r="J29">
        <v>546.12</v>
      </c>
      <c r="K29">
        <v>8.81</v>
      </c>
      <c r="L29" s="7">
        <v>46048</v>
      </c>
      <c r="M29" t="str">
        <f>TEXT(customer_demographic_sales_data[[#This Row],[Purchase_Date]],"YYYY-MM")</f>
        <v>2026-01</v>
      </c>
      <c r="O29" s="9" t="s">
        <v>159</v>
      </c>
      <c r="P29">
        <v>83998.75</v>
      </c>
    </row>
    <row r="30" spans="1:16" x14ac:dyDescent="0.25">
      <c r="A30" t="s">
        <v>160</v>
      </c>
      <c r="B30" t="s">
        <v>161</v>
      </c>
      <c r="C30" t="s">
        <v>62</v>
      </c>
      <c r="D30">
        <v>22</v>
      </c>
      <c r="E30" t="s">
        <v>162</v>
      </c>
      <c r="F30" t="s">
        <v>58</v>
      </c>
      <c r="G30" t="s">
        <v>47</v>
      </c>
      <c r="H30">
        <v>1</v>
      </c>
      <c r="I30">
        <v>496.44</v>
      </c>
      <c r="J30">
        <v>496.44</v>
      </c>
      <c r="K30">
        <v>20.57</v>
      </c>
      <c r="L30" s="7">
        <v>46091</v>
      </c>
      <c r="M30" t="str">
        <f>TEXT(customer_demographic_sales_data[[#This Row],[Purchase_Date]],"YYYY-MM")</f>
        <v>2026-03</v>
      </c>
      <c r="O30" s="9" t="s">
        <v>163</v>
      </c>
      <c r="P30">
        <v>9999.9599999999991</v>
      </c>
    </row>
    <row r="31" spans="1:16" x14ac:dyDescent="0.25">
      <c r="A31" t="s">
        <v>164</v>
      </c>
      <c r="B31" t="s">
        <v>165</v>
      </c>
      <c r="C31" t="s">
        <v>62</v>
      </c>
      <c r="D31">
        <v>35</v>
      </c>
      <c r="E31" t="s">
        <v>166</v>
      </c>
      <c r="F31" t="s">
        <v>102</v>
      </c>
      <c r="G31" t="s">
        <v>41</v>
      </c>
      <c r="H31">
        <v>8</v>
      </c>
      <c r="I31">
        <v>467.76</v>
      </c>
      <c r="J31">
        <v>3742.08</v>
      </c>
      <c r="K31">
        <v>31.38</v>
      </c>
      <c r="L31" s="7">
        <v>46042</v>
      </c>
      <c r="M31" t="str">
        <f>TEXT(customer_demographic_sales_data[[#This Row],[Purchase_Date]],"YYYY-MM")</f>
        <v>2026-01</v>
      </c>
      <c r="O31" s="9" t="s">
        <v>167</v>
      </c>
      <c r="P31">
        <v>15548.13</v>
      </c>
    </row>
    <row r="32" spans="1:16" x14ac:dyDescent="0.25">
      <c r="A32" t="s">
        <v>168</v>
      </c>
      <c r="B32" t="s">
        <v>169</v>
      </c>
      <c r="C32" t="s">
        <v>62</v>
      </c>
      <c r="D32">
        <v>69</v>
      </c>
      <c r="E32" t="s">
        <v>170</v>
      </c>
      <c r="F32" t="s">
        <v>102</v>
      </c>
      <c r="G32" t="s">
        <v>64</v>
      </c>
      <c r="H32">
        <v>7</v>
      </c>
      <c r="I32">
        <v>421.3</v>
      </c>
      <c r="J32">
        <v>2949.1</v>
      </c>
      <c r="K32">
        <v>16.940000000000001</v>
      </c>
      <c r="L32" s="7">
        <v>45637</v>
      </c>
      <c r="M32" t="str">
        <f>TEXT(customer_demographic_sales_data[[#This Row],[Purchase_Date]],"YYYY-MM")</f>
        <v>2024-12</v>
      </c>
      <c r="O32" s="9" t="s">
        <v>171</v>
      </c>
    </row>
    <row r="33" spans="1:16" x14ac:dyDescent="0.25">
      <c r="A33" t="s">
        <v>172</v>
      </c>
      <c r="B33" t="s">
        <v>173</v>
      </c>
      <c r="C33" t="s">
        <v>51</v>
      </c>
      <c r="D33">
        <v>47</v>
      </c>
      <c r="E33" t="s">
        <v>174</v>
      </c>
      <c r="F33" t="s">
        <v>46</v>
      </c>
      <c r="G33" t="s">
        <v>47</v>
      </c>
      <c r="H33">
        <v>1</v>
      </c>
      <c r="I33">
        <v>1363.06</v>
      </c>
      <c r="J33">
        <v>1363.06</v>
      </c>
      <c r="K33">
        <v>16.100000000000001</v>
      </c>
      <c r="L33" s="7">
        <v>46070</v>
      </c>
      <c r="M33" t="str">
        <f>TEXT(customer_demographic_sales_data[[#This Row],[Purchase_Date]],"YYYY-MM")</f>
        <v>2026-02</v>
      </c>
      <c r="O33" s="9" t="s">
        <v>175</v>
      </c>
      <c r="P33">
        <v>1714726.4200000002</v>
      </c>
    </row>
    <row r="34" spans="1:16" x14ac:dyDescent="0.25">
      <c r="A34" t="s">
        <v>176</v>
      </c>
      <c r="B34" t="s">
        <v>177</v>
      </c>
      <c r="C34" t="s">
        <v>62</v>
      </c>
      <c r="D34">
        <v>39</v>
      </c>
      <c r="E34" t="s">
        <v>178</v>
      </c>
      <c r="F34" t="s">
        <v>102</v>
      </c>
      <c r="G34" t="s">
        <v>41</v>
      </c>
      <c r="H34">
        <v>2</v>
      </c>
      <c r="I34">
        <v>534.88</v>
      </c>
      <c r="J34">
        <v>1069.76</v>
      </c>
      <c r="K34">
        <v>16.88</v>
      </c>
      <c r="L34" s="7">
        <v>45794</v>
      </c>
      <c r="M34" t="str">
        <f>TEXT(customer_demographic_sales_data[[#This Row],[Purchase_Date]],"YYYY-MM")</f>
        <v>2025-05</v>
      </c>
    </row>
    <row r="35" spans="1:16" x14ac:dyDescent="0.25">
      <c r="A35" t="s">
        <v>179</v>
      </c>
      <c r="B35" t="s">
        <v>180</v>
      </c>
      <c r="C35" t="s">
        <v>62</v>
      </c>
      <c r="D35">
        <v>35</v>
      </c>
      <c r="E35" t="s">
        <v>181</v>
      </c>
      <c r="F35" t="s">
        <v>102</v>
      </c>
      <c r="G35" t="s">
        <v>73</v>
      </c>
      <c r="H35">
        <v>8</v>
      </c>
      <c r="I35">
        <v>537.12</v>
      </c>
      <c r="J35">
        <v>4296.96</v>
      </c>
      <c r="K35">
        <v>3.92</v>
      </c>
      <c r="L35" s="7">
        <v>45626</v>
      </c>
      <c r="M35" t="str">
        <f>TEXT(customer_demographic_sales_data[[#This Row],[Purchase_Date]],"YYYY-MM")</f>
        <v>2024-11</v>
      </c>
    </row>
    <row r="36" spans="1:16" x14ac:dyDescent="0.25">
      <c r="A36" t="s">
        <v>182</v>
      </c>
      <c r="B36" t="s">
        <v>183</v>
      </c>
      <c r="C36" t="s">
        <v>62</v>
      </c>
      <c r="D36">
        <v>59</v>
      </c>
      <c r="E36" t="s">
        <v>184</v>
      </c>
      <c r="F36" t="s">
        <v>40</v>
      </c>
      <c r="G36" t="s">
        <v>41</v>
      </c>
      <c r="H36">
        <v>9</v>
      </c>
      <c r="I36">
        <v>1680.25</v>
      </c>
      <c r="J36">
        <v>15122.25</v>
      </c>
      <c r="K36">
        <v>16.260000000000002</v>
      </c>
      <c r="L36" s="7">
        <v>45590</v>
      </c>
      <c r="M36" t="str">
        <f>TEXT(customer_demographic_sales_data[[#This Row],[Purchase_Date]],"YYYY-MM")</f>
        <v>2024-10</v>
      </c>
    </row>
    <row r="37" spans="1:16" x14ac:dyDescent="0.25">
      <c r="A37" t="s">
        <v>185</v>
      </c>
      <c r="B37" t="s">
        <v>186</v>
      </c>
      <c r="C37" t="s">
        <v>62</v>
      </c>
      <c r="D37">
        <v>48</v>
      </c>
      <c r="E37" t="s">
        <v>187</v>
      </c>
      <c r="F37" t="s">
        <v>40</v>
      </c>
      <c r="G37" t="s">
        <v>188</v>
      </c>
      <c r="H37">
        <v>4</v>
      </c>
      <c r="I37">
        <v>1736.07</v>
      </c>
      <c r="J37">
        <v>6944.28</v>
      </c>
      <c r="K37">
        <v>0.09</v>
      </c>
      <c r="L37" s="7">
        <v>45791</v>
      </c>
      <c r="M37" t="str">
        <f>TEXT(customer_demographic_sales_data[[#This Row],[Purchase_Date]],"YYYY-MM")</f>
        <v>2025-05</v>
      </c>
    </row>
    <row r="38" spans="1:16" x14ac:dyDescent="0.25">
      <c r="A38" t="s">
        <v>189</v>
      </c>
      <c r="B38" t="s">
        <v>190</v>
      </c>
      <c r="C38" t="s">
        <v>38</v>
      </c>
      <c r="D38">
        <v>42</v>
      </c>
      <c r="E38" t="s">
        <v>191</v>
      </c>
      <c r="F38" t="s">
        <v>58</v>
      </c>
      <c r="G38" t="s">
        <v>188</v>
      </c>
      <c r="H38">
        <v>5</v>
      </c>
      <c r="I38">
        <v>1856.71</v>
      </c>
      <c r="J38">
        <v>9283.5499999999993</v>
      </c>
      <c r="K38">
        <v>27.86</v>
      </c>
      <c r="L38" s="7">
        <v>45945</v>
      </c>
      <c r="M38" t="str">
        <f>TEXT(customer_demographic_sales_data[[#This Row],[Purchase_Date]],"YYYY-MM")</f>
        <v>2025-10</v>
      </c>
    </row>
    <row r="39" spans="1:16" x14ac:dyDescent="0.25">
      <c r="A39" t="s">
        <v>192</v>
      </c>
      <c r="B39" t="s">
        <v>193</v>
      </c>
      <c r="C39" t="s">
        <v>38</v>
      </c>
      <c r="D39">
        <v>64</v>
      </c>
      <c r="E39" t="s">
        <v>194</v>
      </c>
      <c r="F39" t="s">
        <v>40</v>
      </c>
      <c r="G39" t="s">
        <v>41</v>
      </c>
      <c r="H39">
        <v>9</v>
      </c>
      <c r="I39">
        <v>1340.65</v>
      </c>
      <c r="J39">
        <v>12065.85</v>
      </c>
      <c r="K39">
        <v>11.87</v>
      </c>
      <c r="L39" s="7">
        <v>45902</v>
      </c>
      <c r="M39" t="str">
        <f>TEXT(customer_demographic_sales_data[[#This Row],[Purchase_Date]],"YYYY-MM")</f>
        <v>2025-09</v>
      </c>
    </row>
    <row r="40" spans="1:16" x14ac:dyDescent="0.25">
      <c r="A40" t="s">
        <v>195</v>
      </c>
      <c r="B40" t="s">
        <v>196</v>
      </c>
      <c r="C40" t="s">
        <v>62</v>
      </c>
      <c r="D40">
        <v>21</v>
      </c>
      <c r="E40" t="s">
        <v>197</v>
      </c>
      <c r="F40" t="s">
        <v>58</v>
      </c>
      <c r="G40" t="s">
        <v>47</v>
      </c>
      <c r="H40">
        <v>10</v>
      </c>
      <c r="I40">
        <v>1484.69</v>
      </c>
      <c r="J40">
        <v>14846.9</v>
      </c>
      <c r="K40">
        <v>2.0099999999999998</v>
      </c>
      <c r="L40" s="7">
        <v>45941</v>
      </c>
      <c r="M40" t="str">
        <f>TEXT(customer_demographic_sales_data[[#This Row],[Purchase_Date]],"YYYY-MM")</f>
        <v>2025-10</v>
      </c>
    </row>
    <row r="41" spans="1:16" x14ac:dyDescent="0.25">
      <c r="A41" t="s">
        <v>198</v>
      </c>
      <c r="B41" t="s">
        <v>199</v>
      </c>
      <c r="C41" t="s">
        <v>51</v>
      </c>
      <c r="D41">
        <v>48</v>
      </c>
      <c r="E41" t="s">
        <v>200</v>
      </c>
      <c r="F41" t="s">
        <v>40</v>
      </c>
      <c r="G41" t="s">
        <v>47</v>
      </c>
      <c r="H41">
        <v>9</v>
      </c>
      <c r="I41">
        <v>1842.8</v>
      </c>
      <c r="J41">
        <v>16585.2</v>
      </c>
      <c r="K41">
        <v>38.43</v>
      </c>
      <c r="L41" s="7">
        <v>45428</v>
      </c>
      <c r="M41" t="str">
        <f>TEXT(customer_demographic_sales_data[[#This Row],[Purchase_Date]],"YYYY-MM")</f>
        <v>2024-05</v>
      </c>
    </row>
    <row r="42" spans="1:16" x14ac:dyDescent="0.25">
      <c r="A42" t="s">
        <v>201</v>
      </c>
      <c r="B42" t="s">
        <v>202</v>
      </c>
      <c r="C42" t="s">
        <v>62</v>
      </c>
      <c r="D42">
        <v>23</v>
      </c>
      <c r="E42" t="s">
        <v>203</v>
      </c>
      <c r="F42" t="s">
        <v>40</v>
      </c>
      <c r="G42" t="s">
        <v>188</v>
      </c>
      <c r="H42">
        <v>3</v>
      </c>
      <c r="I42">
        <v>183.62</v>
      </c>
      <c r="J42">
        <v>550.86</v>
      </c>
      <c r="K42">
        <v>4.8</v>
      </c>
      <c r="L42" s="7">
        <v>45523</v>
      </c>
      <c r="M42" t="str">
        <f>TEXT(customer_demographic_sales_data[[#This Row],[Purchase_Date]],"YYYY-MM")</f>
        <v>2024-08</v>
      </c>
    </row>
    <row r="43" spans="1:16" x14ac:dyDescent="0.25">
      <c r="A43" t="s">
        <v>204</v>
      </c>
      <c r="B43" t="s">
        <v>205</v>
      </c>
      <c r="C43" t="s">
        <v>62</v>
      </c>
      <c r="D43">
        <v>54</v>
      </c>
      <c r="E43" t="s">
        <v>206</v>
      </c>
      <c r="F43" t="s">
        <v>46</v>
      </c>
      <c r="G43" t="s">
        <v>188</v>
      </c>
      <c r="H43">
        <v>4</v>
      </c>
      <c r="I43">
        <v>1178.8900000000001</v>
      </c>
      <c r="J43">
        <v>4715.5600000000004</v>
      </c>
      <c r="K43">
        <v>26.29</v>
      </c>
      <c r="L43" s="7">
        <v>46068</v>
      </c>
      <c r="M43" t="str">
        <f>TEXT(customer_demographic_sales_data[[#This Row],[Purchase_Date]],"YYYY-MM")</f>
        <v>2026-02</v>
      </c>
    </row>
    <row r="44" spans="1:16" x14ac:dyDescent="0.25">
      <c r="A44" t="s">
        <v>207</v>
      </c>
      <c r="B44" t="s">
        <v>208</v>
      </c>
      <c r="C44" t="s">
        <v>38</v>
      </c>
      <c r="D44">
        <v>54</v>
      </c>
      <c r="E44" t="s">
        <v>209</v>
      </c>
      <c r="F44" t="s">
        <v>40</v>
      </c>
      <c r="G44" t="s">
        <v>53</v>
      </c>
      <c r="H44">
        <v>9</v>
      </c>
      <c r="I44">
        <v>666.92</v>
      </c>
      <c r="J44">
        <v>6002.28</v>
      </c>
      <c r="K44">
        <v>28.65</v>
      </c>
      <c r="L44" s="7">
        <v>46144</v>
      </c>
      <c r="M44" t="str">
        <f>TEXT(customer_demographic_sales_data[[#This Row],[Purchase_Date]],"YYYY-MM")</f>
        <v>2026-05</v>
      </c>
    </row>
    <row r="45" spans="1:16" x14ac:dyDescent="0.25">
      <c r="A45" t="s">
        <v>210</v>
      </c>
      <c r="B45" t="s">
        <v>211</v>
      </c>
      <c r="C45" t="s">
        <v>51</v>
      </c>
      <c r="D45">
        <v>33</v>
      </c>
      <c r="E45" t="s">
        <v>212</v>
      </c>
      <c r="F45" t="s">
        <v>58</v>
      </c>
      <c r="G45" t="s">
        <v>188</v>
      </c>
      <c r="H45">
        <v>5</v>
      </c>
      <c r="I45">
        <v>821.78</v>
      </c>
      <c r="J45">
        <v>4108.8999999999996</v>
      </c>
      <c r="K45">
        <v>12.65</v>
      </c>
      <c r="L45" s="7">
        <v>45632</v>
      </c>
      <c r="M45" t="str">
        <f>TEXT(customer_demographic_sales_data[[#This Row],[Purchase_Date]],"YYYY-MM")</f>
        <v>2024-12</v>
      </c>
    </row>
    <row r="46" spans="1:16" x14ac:dyDescent="0.25">
      <c r="A46" t="s">
        <v>213</v>
      </c>
      <c r="B46" t="s">
        <v>214</v>
      </c>
      <c r="C46" t="s">
        <v>51</v>
      </c>
      <c r="D46">
        <v>66</v>
      </c>
      <c r="E46" t="s">
        <v>215</v>
      </c>
      <c r="F46" t="s">
        <v>46</v>
      </c>
      <c r="G46" t="s">
        <v>47</v>
      </c>
      <c r="H46">
        <v>2</v>
      </c>
      <c r="I46">
        <v>68.17</v>
      </c>
      <c r="J46">
        <v>136.34</v>
      </c>
      <c r="K46">
        <v>21.51</v>
      </c>
      <c r="L46" s="7">
        <v>46124</v>
      </c>
      <c r="M46" t="str">
        <f>TEXT(customer_demographic_sales_data[[#This Row],[Purchase_Date]],"YYYY-MM")</f>
        <v>2026-04</v>
      </c>
    </row>
    <row r="47" spans="1:16" x14ac:dyDescent="0.25">
      <c r="A47" t="s">
        <v>216</v>
      </c>
      <c r="B47" t="s">
        <v>217</v>
      </c>
      <c r="C47" t="s">
        <v>38</v>
      </c>
      <c r="D47">
        <v>50</v>
      </c>
      <c r="E47" t="s">
        <v>218</v>
      </c>
      <c r="F47" t="s">
        <v>46</v>
      </c>
      <c r="G47" t="s">
        <v>41</v>
      </c>
      <c r="H47">
        <v>5</v>
      </c>
      <c r="I47">
        <v>308.29000000000002</v>
      </c>
      <c r="J47">
        <v>1541.45</v>
      </c>
      <c r="K47">
        <v>14.78</v>
      </c>
      <c r="L47" s="7">
        <v>46019</v>
      </c>
      <c r="M47" t="str">
        <f>TEXT(customer_demographic_sales_data[[#This Row],[Purchase_Date]],"YYYY-MM")</f>
        <v>2025-12</v>
      </c>
    </row>
    <row r="48" spans="1:16" x14ac:dyDescent="0.25">
      <c r="A48" t="s">
        <v>219</v>
      </c>
      <c r="B48" t="s">
        <v>220</v>
      </c>
      <c r="C48" t="s">
        <v>51</v>
      </c>
      <c r="D48">
        <v>28</v>
      </c>
      <c r="E48" t="s">
        <v>221</v>
      </c>
      <c r="F48" t="s">
        <v>58</v>
      </c>
      <c r="G48" t="s">
        <v>73</v>
      </c>
      <c r="H48">
        <v>8</v>
      </c>
      <c r="I48">
        <v>1675.8</v>
      </c>
      <c r="J48">
        <v>13406.4</v>
      </c>
      <c r="K48">
        <v>39.35</v>
      </c>
      <c r="L48" s="7">
        <v>45856</v>
      </c>
      <c r="M48" t="str">
        <f>TEXT(customer_demographic_sales_data[[#This Row],[Purchase_Date]],"YYYY-MM")</f>
        <v>2025-07</v>
      </c>
    </row>
    <row r="49" spans="1:13" x14ac:dyDescent="0.25">
      <c r="A49" t="s">
        <v>222</v>
      </c>
      <c r="B49" t="s">
        <v>223</v>
      </c>
      <c r="C49" t="s">
        <v>51</v>
      </c>
      <c r="D49">
        <v>69</v>
      </c>
      <c r="E49" t="s">
        <v>224</v>
      </c>
      <c r="F49" t="s">
        <v>58</v>
      </c>
      <c r="G49" t="s">
        <v>53</v>
      </c>
      <c r="H49">
        <v>9</v>
      </c>
      <c r="I49">
        <v>65.260000000000005</v>
      </c>
      <c r="J49">
        <v>587.34</v>
      </c>
      <c r="K49">
        <v>4.1399999999999997</v>
      </c>
      <c r="L49" s="7">
        <v>45707</v>
      </c>
      <c r="M49" t="str">
        <f>TEXT(customer_demographic_sales_data[[#This Row],[Purchase_Date]],"YYYY-MM")</f>
        <v>2025-02</v>
      </c>
    </row>
    <row r="50" spans="1:13" x14ac:dyDescent="0.25">
      <c r="A50" t="s">
        <v>225</v>
      </c>
      <c r="B50" t="s">
        <v>226</v>
      </c>
      <c r="C50" t="s">
        <v>62</v>
      </c>
      <c r="D50">
        <v>26</v>
      </c>
      <c r="E50" t="s">
        <v>227</v>
      </c>
      <c r="F50" t="s">
        <v>40</v>
      </c>
      <c r="G50" t="s">
        <v>64</v>
      </c>
      <c r="H50">
        <v>5</v>
      </c>
      <c r="I50">
        <v>275.08999999999997</v>
      </c>
      <c r="J50">
        <v>1375.45</v>
      </c>
      <c r="K50">
        <v>11.27</v>
      </c>
      <c r="L50" s="7">
        <v>46119</v>
      </c>
      <c r="M50" t="str">
        <f>TEXT(customer_demographic_sales_data[[#This Row],[Purchase_Date]],"YYYY-MM")</f>
        <v>2026-04</v>
      </c>
    </row>
    <row r="51" spans="1:13" x14ac:dyDescent="0.25">
      <c r="A51" t="s">
        <v>228</v>
      </c>
      <c r="B51" t="s">
        <v>229</v>
      </c>
      <c r="C51" t="s">
        <v>51</v>
      </c>
      <c r="D51">
        <v>31</v>
      </c>
      <c r="E51" t="s">
        <v>230</v>
      </c>
      <c r="F51" t="s">
        <v>58</v>
      </c>
      <c r="G51" t="s">
        <v>73</v>
      </c>
      <c r="H51">
        <v>6</v>
      </c>
      <c r="I51">
        <v>447.01</v>
      </c>
      <c r="J51">
        <v>2682.06</v>
      </c>
      <c r="K51">
        <v>19.54</v>
      </c>
      <c r="L51" s="7">
        <v>45903</v>
      </c>
      <c r="M51" t="str">
        <f>TEXT(customer_demographic_sales_data[[#This Row],[Purchase_Date]],"YYYY-MM")</f>
        <v>2025-09</v>
      </c>
    </row>
    <row r="52" spans="1:13" x14ac:dyDescent="0.25">
      <c r="A52" t="s">
        <v>231</v>
      </c>
      <c r="B52" t="s">
        <v>232</v>
      </c>
      <c r="C52" t="s">
        <v>38</v>
      </c>
      <c r="D52">
        <v>21</v>
      </c>
      <c r="E52" t="s">
        <v>233</v>
      </c>
      <c r="F52" t="s">
        <v>46</v>
      </c>
      <c r="G52" t="s">
        <v>47</v>
      </c>
      <c r="H52">
        <v>2</v>
      </c>
      <c r="I52">
        <v>1286.8499999999999</v>
      </c>
      <c r="J52">
        <v>2573.6999999999998</v>
      </c>
      <c r="K52">
        <v>13.34</v>
      </c>
      <c r="L52" s="7">
        <v>46105</v>
      </c>
      <c r="M52" t="str">
        <f>TEXT(customer_demographic_sales_data[[#This Row],[Purchase_Date]],"YYYY-MM")</f>
        <v>2026-03</v>
      </c>
    </row>
    <row r="53" spans="1:13" x14ac:dyDescent="0.25">
      <c r="A53" t="s">
        <v>234</v>
      </c>
      <c r="B53" t="s">
        <v>235</v>
      </c>
      <c r="C53" t="s">
        <v>38</v>
      </c>
      <c r="D53">
        <v>26</v>
      </c>
      <c r="E53" t="s">
        <v>236</v>
      </c>
      <c r="F53" t="s">
        <v>102</v>
      </c>
      <c r="G53" t="s">
        <v>73</v>
      </c>
      <c r="H53">
        <v>5</v>
      </c>
      <c r="I53">
        <v>365.08</v>
      </c>
      <c r="J53">
        <v>1825.4</v>
      </c>
      <c r="K53">
        <v>0.39</v>
      </c>
      <c r="L53" s="7">
        <v>45628</v>
      </c>
      <c r="M53" t="str">
        <f>TEXT(customer_demographic_sales_data[[#This Row],[Purchase_Date]],"YYYY-MM")</f>
        <v>2024-12</v>
      </c>
    </row>
    <row r="54" spans="1:13" x14ac:dyDescent="0.25">
      <c r="A54" t="s">
        <v>237</v>
      </c>
      <c r="B54" t="s">
        <v>238</v>
      </c>
      <c r="C54" t="s">
        <v>38</v>
      </c>
      <c r="D54">
        <v>22</v>
      </c>
      <c r="E54" t="s">
        <v>239</v>
      </c>
      <c r="F54" t="s">
        <v>40</v>
      </c>
      <c r="G54" t="s">
        <v>188</v>
      </c>
      <c r="H54">
        <v>3</v>
      </c>
      <c r="I54">
        <v>1113.9000000000001</v>
      </c>
      <c r="J54">
        <v>3341.7</v>
      </c>
      <c r="K54">
        <v>5.0999999999999996</v>
      </c>
      <c r="L54" s="7">
        <v>46055</v>
      </c>
      <c r="M54" t="str">
        <f>TEXT(customer_demographic_sales_data[[#This Row],[Purchase_Date]],"YYYY-MM")</f>
        <v>2026-02</v>
      </c>
    </row>
    <row r="55" spans="1:13" x14ac:dyDescent="0.25">
      <c r="A55" t="s">
        <v>240</v>
      </c>
      <c r="B55" t="s">
        <v>241</v>
      </c>
      <c r="C55" t="s">
        <v>62</v>
      </c>
      <c r="D55">
        <v>37</v>
      </c>
      <c r="E55" t="s">
        <v>242</v>
      </c>
      <c r="F55" t="s">
        <v>58</v>
      </c>
      <c r="G55" t="s">
        <v>41</v>
      </c>
      <c r="H55">
        <v>6</v>
      </c>
      <c r="I55">
        <v>1803.01</v>
      </c>
      <c r="J55">
        <v>10818.06</v>
      </c>
      <c r="K55">
        <v>27.28</v>
      </c>
      <c r="L55" s="7">
        <v>45571</v>
      </c>
      <c r="M55" t="str">
        <f>TEXT(customer_demographic_sales_data[[#This Row],[Purchase_Date]],"YYYY-MM")</f>
        <v>2024-10</v>
      </c>
    </row>
    <row r="56" spans="1:13" x14ac:dyDescent="0.25">
      <c r="A56" t="s">
        <v>243</v>
      </c>
      <c r="B56" t="s">
        <v>244</v>
      </c>
      <c r="C56" t="s">
        <v>51</v>
      </c>
      <c r="D56">
        <v>60</v>
      </c>
      <c r="E56" t="s">
        <v>245</v>
      </c>
      <c r="F56" t="s">
        <v>102</v>
      </c>
      <c r="G56" t="s">
        <v>73</v>
      </c>
      <c r="H56">
        <v>2</v>
      </c>
      <c r="I56">
        <v>739.67</v>
      </c>
      <c r="J56">
        <v>1479.34</v>
      </c>
      <c r="K56">
        <v>29.98</v>
      </c>
      <c r="L56" s="7">
        <v>45731</v>
      </c>
      <c r="M56" t="str">
        <f>TEXT(customer_demographic_sales_data[[#This Row],[Purchase_Date]],"YYYY-MM")</f>
        <v>2025-03</v>
      </c>
    </row>
    <row r="57" spans="1:13" x14ac:dyDescent="0.25">
      <c r="A57" t="s">
        <v>246</v>
      </c>
      <c r="B57" t="s">
        <v>247</v>
      </c>
      <c r="C57" t="s">
        <v>62</v>
      </c>
      <c r="D57">
        <v>33</v>
      </c>
      <c r="E57" t="s">
        <v>248</v>
      </c>
      <c r="F57" t="s">
        <v>102</v>
      </c>
      <c r="G57" t="s">
        <v>47</v>
      </c>
      <c r="H57">
        <v>3</v>
      </c>
      <c r="I57">
        <v>1953.6</v>
      </c>
      <c r="J57">
        <v>5860.8</v>
      </c>
      <c r="K57">
        <v>7.17</v>
      </c>
      <c r="L57" s="7">
        <v>45559</v>
      </c>
      <c r="M57" t="str">
        <f>TEXT(customer_demographic_sales_data[[#This Row],[Purchase_Date]],"YYYY-MM")</f>
        <v>2024-09</v>
      </c>
    </row>
    <row r="58" spans="1:13" x14ac:dyDescent="0.25">
      <c r="A58" t="s">
        <v>249</v>
      </c>
      <c r="B58" t="s">
        <v>250</v>
      </c>
      <c r="C58" t="s">
        <v>51</v>
      </c>
      <c r="D58">
        <v>39</v>
      </c>
      <c r="E58" t="s">
        <v>251</v>
      </c>
      <c r="F58" t="s">
        <v>40</v>
      </c>
      <c r="G58" t="s">
        <v>64</v>
      </c>
      <c r="H58">
        <v>7</v>
      </c>
      <c r="I58">
        <v>1614.36</v>
      </c>
      <c r="J58">
        <v>11300.52</v>
      </c>
      <c r="K58">
        <v>6.37</v>
      </c>
      <c r="L58" s="7">
        <v>45759</v>
      </c>
      <c r="M58" t="str">
        <f>TEXT(customer_demographic_sales_data[[#This Row],[Purchase_Date]],"YYYY-MM")</f>
        <v>2025-04</v>
      </c>
    </row>
    <row r="59" spans="1:13" x14ac:dyDescent="0.25">
      <c r="A59" t="s">
        <v>252</v>
      </c>
      <c r="B59" t="s">
        <v>253</v>
      </c>
      <c r="C59" t="s">
        <v>62</v>
      </c>
      <c r="D59">
        <v>62</v>
      </c>
      <c r="E59" t="s">
        <v>254</v>
      </c>
      <c r="F59" t="s">
        <v>102</v>
      </c>
      <c r="G59" t="s">
        <v>41</v>
      </c>
      <c r="H59">
        <v>2</v>
      </c>
      <c r="I59">
        <v>795.96</v>
      </c>
      <c r="J59">
        <v>1591.92</v>
      </c>
      <c r="K59">
        <v>7.98</v>
      </c>
      <c r="L59" s="7">
        <v>45759</v>
      </c>
      <c r="M59" t="str">
        <f>TEXT(customer_demographic_sales_data[[#This Row],[Purchase_Date]],"YYYY-MM")</f>
        <v>2025-04</v>
      </c>
    </row>
    <row r="60" spans="1:13" x14ac:dyDescent="0.25">
      <c r="A60" t="s">
        <v>255</v>
      </c>
      <c r="B60" t="s">
        <v>256</v>
      </c>
      <c r="C60" t="s">
        <v>62</v>
      </c>
      <c r="D60">
        <v>47</v>
      </c>
      <c r="E60" t="s">
        <v>257</v>
      </c>
      <c r="F60" t="s">
        <v>40</v>
      </c>
      <c r="G60" t="s">
        <v>47</v>
      </c>
      <c r="H60">
        <v>6</v>
      </c>
      <c r="I60">
        <v>645.12</v>
      </c>
      <c r="J60">
        <v>3870.72</v>
      </c>
      <c r="K60">
        <v>26.4</v>
      </c>
      <c r="L60" s="7">
        <v>45936</v>
      </c>
      <c r="M60" t="str">
        <f>TEXT(customer_demographic_sales_data[[#This Row],[Purchase_Date]],"YYYY-MM")</f>
        <v>2025-10</v>
      </c>
    </row>
    <row r="61" spans="1:13" x14ac:dyDescent="0.25">
      <c r="A61" t="s">
        <v>258</v>
      </c>
      <c r="B61" t="s">
        <v>259</v>
      </c>
      <c r="C61" t="s">
        <v>62</v>
      </c>
      <c r="D61">
        <v>43</v>
      </c>
      <c r="E61" t="s">
        <v>260</v>
      </c>
      <c r="F61" t="s">
        <v>58</v>
      </c>
      <c r="G61" t="s">
        <v>64</v>
      </c>
      <c r="H61">
        <v>6</v>
      </c>
      <c r="I61">
        <v>593.28</v>
      </c>
      <c r="J61">
        <v>3559.68</v>
      </c>
      <c r="K61">
        <v>25.66</v>
      </c>
      <c r="L61" s="7">
        <v>45661</v>
      </c>
      <c r="M61" t="str">
        <f>TEXT(customer_demographic_sales_data[[#This Row],[Purchase_Date]],"YYYY-MM")</f>
        <v>2025-01</v>
      </c>
    </row>
    <row r="62" spans="1:13" x14ac:dyDescent="0.25">
      <c r="A62" t="s">
        <v>261</v>
      </c>
      <c r="B62" t="s">
        <v>262</v>
      </c>
      <c r="C62" t="s">
        <v>62</v>
      </c>
      <c r="D62">
        <v>43</v>
      </c>
      <c r="E62" t="s">
        <v>263</v>
      </c>
      <c r="F62" t="s">
        <v>46</v>
      </c>
      <c r="G62" t="s">
        <v>64</v>
      </c>
      <c r="H62">
        <v>9</v>
      </c>
      <c r="I62">
        <v>695.74</v>
      </c>
      <c r="J62">
        <v>6261.66</v>
      </c>
      <c r="K62">
        <v>7.14</v>
      </c>
      <c r="L62" s="7">
        <v>46151</v>
      </c>
      <c r="M62" t="str">
        <f>TEXT(customer_demographic_sales_data[[#This Row],[Purchase_Date]],"YYYY-MM")</f>
        <v>2026-05</v>
      </c>
    </row>
    <row r="63" spans="1:13" x14ac:dyDescent="0.25">
      <c r="A63" t="s">
        <v>264</v>
      </c>
      <c r="B63" t="s">
        <v>265</v>
      </c>
      <c r="C63" t="s">
        <v>38</v>
      </c>
      <c r="D63">
        <v>34</v>
      </c>
      <c r="E63" t="s">
        <v>266</v>
      </c>
      <c r="F63" t="s">
        <v>58</v>
      </c>
      <c r="G63" t="s">
        <v>53</v>
      </c>
      <c r="H63">
        <v>1</v>
      </c>
      <c r="I63">
        <v>261.38</v>
      </c>
      <c r="J63">
        <v>261.38</v>
      </c>
      <c r="K63">
        <v>31.46</v>
      </c>
      <c r="L63" s="7">
        <v>45657</v>
      </c>
      <c r="M63" t="str">
        <f>TEXT(customer_demographic_sales_data[[#This Row],[Purchase_Date]],"YYYY-MM")</f>
        <v>2024-12</v>
      </c>
    </row>
    <row r="64" spans="1:13" x14ac:dyDescent="0.25">
      <c r="A64" t="s">
        <v>267</v>
      </c>
      <c r="B64" t="s">
        <v>268</v>
      </c>
      <c r="C64" t="s">
        <v>62</v>
      </c>
      <c r="D64">
        <v>45</v>
      </c>
      <c r="E64" t="s">
        <v>269</v>
      </c>
      <c r="F64" t="s">
        <v>102</v>
      </c>
      <c r="G64" t="s">
        <v>73</v>
      </c>
      <c r="H64">
        <v>10</v>
      </c>
      <c r="I64">
        <v>1969.26</v>
      </c>
      <c r="J64">
        <v>19692.599999999999</v>
      </c>
      <c r="K64">
        <v>7.6</v>
      </c>
      <c r="L64" s="7">
        <v>45945</v>
      </c>
      <c r="M64" t="str">
        <f>TEXT(customer_demographic_sales_data[[#This Row],[Purchase_Date]],"YYYY-MM")</f>
        <v>2025-10</v>
      </c>
    </row>
    <row r="65" spans="1:13" x14ac:dyDescent="0.25">
      <c r="A65" t="s">
        <v>270</v>
      </c>
      <c r="B65" t="s">
        <v>271</v>
      </c>
      <c r="C65" t="s">
        <v>51</v>
      </c>
      <c r="D65">
        <v>20</v>
      </c>
      <c r="E65" t="s">
        <v>272</v>
      </c>
      <c r="F65" t="s">
        <v>40</v>
      </c>
      <c r="G65" t="s">
        <v>64</v>
      </c>
      <c r="H65">
        <v>7</v>
      </c>
      <c r="I65">
        <v>53.3</v>
      </c>
      <c r="J65">
        <v>373.1</v>
      </c>
      <c r="K65">
        <v>17.25</v>
      </c>
      <c r="L65" s="7">
        <v>45821</v>
      </c>
      <c r="M65" t="str">
        <f>TEXT(customer_demographic_sales_data[[#This Row],[Purchase_Date]],"YYYY-MM")</f>
        <v>2025-06</v>
      </c>
    </row>
    <row r="66" spans="1:13" x14ac:dyDescent="0.25">
      <c r="A66" t="s">
        <v>273</v>
      </c>
      <c r="B66" t="s">
        <v>274</v>
      </c>
      <c r="C66" t="s">
        <v>51</v>
      </c>
      <c r="D66">
        <v>60</v>
      </c>
      <c r="E66" t="s">
        <v>275</v>
      </c>
      <c r="F66" t="s">
        <v>46</v>
      </c>
      <c r="G66" t="s">
        <v>53</v>
      </c>
      <c r="H66">
        <v>6</v>
      </c>
      <c r="I66">
        <v>1265.1500000000001</v>
      </c>
      <c r="J66">
        <v>7590.9</v>
      </c>
      <c r="K66">
        <v>36</v>
      </c>
      <c r="L66" s="7">
        <v>46047</v>
      </c>
      <c r="M66" t="str">
        <f>TEXT(customer_demographic_sales_data[[#This Row],[Purchase_Date]],"YYYY-MM")</f>
        <v>2026-01</v>
      </c>
    </row>
    <row r="67" spans="1:13" x14ac:dyDescent="0.25">
      <c r="A67" t="s">
        <v>276</v>
      </c>
      <c r="B67" t="s">
        <v>277</v>
      </c>
      <c r="C67" t="s">
        <v>38</v>
      </c>
      <c r="D67">
        <v>50</v>
      </c>
      <c r="E67" t="s">
        <v>278</v>
      </c>
      <c r="F67" t="s">
        <v>102</v>
      </c>
      <c r="G67" t="s">
        <v>53</v>
      </c>
      <c r="H67">
        <v>5</v>
      </c>
      <c r="I67">
        <v>1350.44</v>
      </c>
      <c r="J67">
        <v>6752.2</v>
      </c>
      <c r="K67">
        <v>11.83</v>
      </c>
      <c r="L67" s="7">
        <v>45774</v>
      </c>
      <c r="M67" t="str">
        <f>TEXT(customer_demographic_sales_data[[#This Row],[Purchase_Date]],"YYYY-MM")</f>
        <v>2025-04</v>
      </c>
    </row>
    <row r="68" spans="1:13" x14ac:dyDescent="0.25">
      <c r="A68" t="s">
        <v>279</v>
      </c>
      <c r="B68" t="s">
        <v>280</v>
      </c>
      <c r="C68" t="s">
        <v>38</v>
      </c>
      <c r="D68">
        <v>26</v>
      </c>
      <c r="E68" t="s">
        <v>281</v>
      </c>
      <c r="F68" t="s">
        <v>40</v>
      </c>
      <c r="G68" t="s">
        <v>73</v>
      </c>
      <c r="H68">
        <v>4</v>
      </c>
      <c r="I68">
        <v>869.87</v>
      </c>
      <c r="J68">
        <v>3479.48</v>
      </c>
      <c r="K68">
        <v>22.76</v>
      </c>
      <c r="L68" s="7">
        <v>45535</v>
      </c>
      <c r="M68" t="str">
        <f>TEXT(customer_demographic_sales_data[[#This Row],[Purchase_Date]],"YYYY-MM")</f>
        <v>2024-08</v>
      </c>
    </row>
    <row r="69" spans="1:13" x14ac:dyDescent="0.25">
      <c r="A69" t="s">
        <v>282</v>
      </c>
      <c r="B69" t="s">
        <v>283</v>
      </c>
      <c r="C69" t="s">
        <v>38</v>
      </c>
      <c r="D69">
        <v>43</v>
      </c>
      <c r="E69" t="s">
        <v>284</v>
      </c>
      <c r="F69" t="s">
        <v>58</v>
      </c>
      <c r="G69" t="s">
        <v>41</v>
      </c>
      <c r="H69">
        <v>9</v>
      </c>
      <c r="I69">
        <v>1675.76</v>
      </c>
      <c r="J69">
        <v>15081.84</v>
      </c>
      <c r="K69">
        <v>17.2</v>
      </c>
      <c r="L69" s="7">
        <v>46045</v>
      </c>
      <c r="M69" t="str">
        <f>TEXT(customer_demographic_sales_data[[#This Row],[Purchase_Date]],"YYYY-MM")</f>
        <v>2026-01</v>
      </c>
    </row>
    <row r="70" spans="1:13" x14ac:dyDescent="0.25">
      <c r="A70" t="s">
        <v>285</v>
      </c>
      <c r="B70" t="s">
        <v>286</v>
      </c>
      <c r="C70" t="s">
        <v>38</v>
      </c>
      <c r="D70">
        <v>55</v>
      </c>
      <c r="E70" t="s">
        <v>287</v>
      </c>
      <c r="F70" t="s">
        <v>102</v>
      </c>
      <c r="G70" t="s">
        <v>188</v>
      </c>
      <c r="H70">
        <v>10</v>
      </c>
      <c r="I70">
        <v>1326.68</v>
      </c>
      <c r="J70">
        <v>13266.8</v>
      </c>
      <c r="K70">
        <v>27.03</v>
      </c>
      <c r="L70" s="7">
        <v>45524</v>
      </c>
      <c r="M70" t="str">
        <f>TEXT(customer_demographic_sales_data[[#This Row],[Purchase_Date]],"YYYY-MM")</f>
        <v>2024-08</v>
      </c>
    </row>
    <row r="71" spans="1:13" x14ac:dyDescent="0.25">
      <c r="A71" t="s">
        <v>288</v>
      </c>
      <c r="B71" t="s">
        <v>289</v>
      </c>
      <c r="C71" t="s">
        <v>51</v>
      </c>
      <c r="D71">
        <v>50</v>
      </c>
      <c r="E71" t="s">
        <v>290</v>
      </c>
      <c r="F71" t="s">
        <v>40</v>
      </c>
      <c r="G71" t="s">
        <v>53</v>
      </c>
      <c r="H71">
        <v>8</v>
      </c>
      <c r="I71">
        <v>1597.78</v>
      </c>
      <c r="J71">
        <v>12782.24</v>
      </c>
      <c r="K71">
        <v>3.39</v>
      </c>
      <c r="L71" s="7">
        <v>45896</v>
      </c>
      <c r="M71" t="str">
        <f>TEXT(customer_demographic_sales_data[[#This Row],[Purchase_Date]],"YYYY-MM")</f>
        <v>2025-08</v>
      </c>
    </row>
    <row r="72" spans="1:13" x14ac:dyDescent="0.25">
      <c r="A72" t="s">
        <v>291</v>
      </c>
      <c r="B72" t="s">
        <v>292</v>
      </c>
      <c r="C72" t="s">
        <v>62</v>
      </c>
      <c r="D72">
        <v>50</v>
      </c>
      <c r="E72" t="s">
        <v>293</v>
      </c>
      <c r="F72" t="s">
        <v>58</v>
      </c>
      <c r="G72" t="s">
        <v>41</v>
      </c>
      <c r="H72">
        <v>10</v>
      </c>
      <c r="I72">
        <v>703.62</v>
      </c>
      <c r="J72">
        <v>7036.2</v>
      </c>
      <c r="K72">
        <v>32.26</v>
      </c>
      <c r="L72" s="7">
        <v>45770</v>
      </c>
      <c r="M72" t="str">
        <f>TEXT(customer_demographic_sales_data[[#This Row],[Purchase_Date]],"YYYY-MM")</f>
        <v>2025-04</v>
      </c>
    </row>
    <row r="73" spans="1:13" x14ac:dyDescent="0.25">
      <c r="A73" t="s">
        <v>294</v>
      </c>
      <c r="B73" t="s">
        <v>295</v>
      </c>
      <c r="C73" t="s">
        <v>38</v>
      </c>
      <c r="D73">
        <v>27</v>
      </c>
      <c r="E73" t="s">
        <v>296</v>
      </c>
      <c r="F73" t="s">
        <v>46</v>
      </c>
      <c r="G73" t="s">
        <v>188</v>
      </c>
      <c r="H73">
        <v>1</v>
      </c>
      <c r="I73">
        <v>140.12</v>
      </c>
      <c r="J73">
        <v>140.12</v>
      </c>
      <c r="K73">
        <v>16.579999999999998</v>
      </c>
      <c r="L73" s="7">
        <v>45762</v>
      </c>
      <c r="M73" t="str">
        <f>TEXT(customer_demographic_sales_data[[#This Row],[Purchase_Date]],"YYYY-MM")</f>
        <v>2025-04</v>
      </c>
    </row>
    <row r="74" spans="1:13" x14ac:dyDescent="0.25">
      <c r="A74" t="s">
        <v>297</v>
      </c>
      <c r="B74" t="s">
        <v>298</v>
      </c>
      <c r="C74" t="s">
        <v>51</v>
      </c>
      <c r="D74">
        <v>58</v>
      </c>
      <c r="E74" t="s">
        <v>299</v>
      </c>
      <c r="F74" t="s">
        <v>102</v>
      </c>
      <c r="G74" t="s">
        <v>188</v>
      </c>
      <c r="H74">
        <v>10</v>
      </c>
      <c r="I74">
        <v>429.15</v>
      </c>
      <c r="J74">
        <v>4291.5</v>
      </c>
      <c r="K74">
        <v>15.99</v>
      </c>
      <c r="L74" s="7">
        <v>45528</v>
      </c>
      <c r="M74" t="str">
        <f>TEXT(customer_demographic_sales_data[[#This Row],[Purchase_Date]],"YYYY-MM")</f>
        <v>2024-08</v>
      </c>
    </row>
    <row r="75" spans="1:13" x14ac:dyDescent="0.25">
      <c r="A75" t="s">
        <v>300</v>
      </c>
      <c r="B75" t="s">
        <v>301</v>
      </c>
      <c r="C75" t="s">
        <v>62</v>
      </c>
      <c r="D75">
        <v>27</v>
      </c>
      <c r="E75" t="s">
        <v>302</v>
      </c>
      <c r="F75" t="s">
        <v>102</v>
      </c>
      <c r="G75" t="s">
        <v>41</v>
      </c>
      <c r="H75">
        <v>1</v>
      </c>
      <c r="I75">
        <v>1790.69</v>
      </c>
      <c r="J75">
        <v>1790.69</v>
      </c>
      <c r="K75">
        <v>7.04</v>
      </c>
      <c r="L75" s="7">
        <v>45678</v>
      </c>
      <c r="M75" t="str">
        <f>TEXT(customer_demographic_sales_data[[#This Row],[Purchase_Date]],"YYYY-MM")</f>
        <v>2025-01</v>
      </c>
    </row>
    <row r="76" spans="1:13" x14ac:dyDescent="0.25">
      <c r="A76" t="s">
        <v>303</v>
      </c>
      <c r="B76" t="s">
        <v>304</v>
      </c>
      <c r="C76" t="s">
        <v>51</v>
      </c>
      <c r="D76">
        <v>62</v>
      </c>
      <c r="E76" t="s">
        <v>305</v>
      </c>
      <c r="F76" t="s">
        <v>40</v>
      </c>
      <c r="G76" t="s">
        <v>47</v>
      </c>
      <c r="H76">
        <v>9</v>
      </c>
      <c r="I76">
        <v>955.87</v>
      </c>
      <c r="J76">
        <v>8602.83</v>
      </c>
      <c r="K76">
        <v>18.260000000000002</v>
      </c>
      <c r="L76" s="7">
        <v>45961</v>
      </c>
      <c r="M76" t="str">
        <f>TEXT(customer_demographic_sales_data[[#This Row],[Purchase_Date]],"YYYY-MM")</f>
        <v>2025-10</v>
      </c>
    </row>
    <row r="77" spans="1:13" x14ac:dyDescent="0.25">
      <c r="A77" t="s">
        <v>306</v>
      </c>
      <c r="B77" t="s">
        <v>307</v>
      </c>
      <c r="C77" t="s">
        <v>51</v>
      </c>
      <c r="D77">
        <v>69</v>
      </c>
      <c r="E77" t="s">
        <v>308</v>
      </c>
      <c r="F77" t="s">
        <v>58</v>
      </c>
      <c r="G77" t="s">
        <v>188</v>
      </c>
      <c r="H77">
        <v>8</v>
      </c>
      <c r="I77">
        <v>1351.78</v>
      </c>
      <c r="J77">
        <v>10814.24</v>
      </c>
      <c r="K77">
        <v>24.51</v>
      </c>
      <c r="L77" s="7">
        <v>45652</v>
      </c>
      <c r="M77" t="str">
        <f>TEXT(customer_demographic_sales_data[[#This Row],[Purchase_Date]],"YYYY-MM")</f>
        <v>2024-12</v>
      </c>
    </row>
    <row r="78" spans="1:13" x14ac:dyDescent="0.25">
      <c r="A78" t="s">
        <v>309</v>
      </c>
      <c r="B78" t="s">
        <v>310</v>
      </c>
      <c r="C78" t="s">
        <v>51</v>
      </c>
      <c r="D78">
        <v>64</v>
      </c>
      <c r="E78" t="s">
        <v>311</v>
      </c>
      <c r="F78" t="s">
        <v>102</v>
      </c>
      <c r="G78" t="s">
        <v>41</v>
      </c>
      <c r="H78">
        <v>9</v>
      </c>
      <c r="I78">
        <v>882.14</v>
      </c>
      <c r="J78">
        <v>7939.26</v>
      </c>
      <c r="K78">
        <v>29.75</v>
      </c>
      <c r="L78" s="7">
        <v>46042</v>
      </c>
      <c r="M78" t="str">
        <f>TEXT(customer_demographic_sales_data[[#This Row],[Purchase_Date]],"YYYY-MM")</f>
        <v>2026-01</v>
      </c>
    </row>
    <row r="79" spans="1:13" x14ac:dyDescent="0.25">
      <c r="A79" t="s">
        <v>312</v>
      </c>
      <c r="B79" t="s">
        <v>313</v>
      </c>
      <c r="C79" t="s">
        <v>62</v>
      </c>
      <c r="D79">
        <v>48</v>
      </c>
      <c r="E79" t="s">
        <v>314</v>
      </c>
      <c r="F79" t="s">
        <v>58</v>
      </c>
      <c r="G79" t="s">
        <v>73</v>
      </c>
      <c r="H79">
        <v>8</v>
      </c>
      <c r="I79">
        <v>555.41999999999996</v>
      </c>
      <c r="J79">
        <v>4443.3599999999997</v>
      </c>
      <c r="K79">
        <v>19.38</v>
      </c>
      <c r="L79" s="7">
        <v>45682</v>
      </c>
      <c r="M79" t="str">
        <f>TEXT(customer_demographic_sales_data[[#This Row],[Purchase_Date]],"YYYY-MM")</f>
        <v>2025-01</v>
      </c>
    </row>
    <row r="80" spans="1:13" x14ac:dyDescent="0.25">
      <c r="A80" t="s">
        <v>315</v>
      </c>
      <c r="B80" t="s">
        <v>316</v>
      </c>
      <c r="C80" t="s">
        <v>51</v>
      </c>
      <c r="D80">
        <v>33</v>
      </c>
      <c r="E80" t="s">
        <v>317</v>
      </c>
      <c r="F80" t="s">
        <v>58</v>
      </c>
      <c r="G80" t="s">
        <v>41</v>
      </c>
      <c r="H80">
        <v>5</v>
      </c>
      <c r="I80">
        <v>907.75</v>
      </c>
      <c r="J80">
        <v>4538.75</v>
      </c>
      <c r="K80">
        <v>10.87</v>
      </c>
      <c r="L80" s="7">
        <v>45441</v>
      </c>
      <c r="M80" t="str">
        <f>TEXT(customer_demographic_sales_data[[#This Row],[Purchase_Date]],"YYYY-MM")</f>
        <v>2024-05</v>
      </c>
    </row>
    <row r="81" spans="1:13" x14ac:dyDescent="0.25">
      <c r="A81" t="s">
        <v>318</v>
      </c>
      <c r="B81" t="s">
        <v>319</v>
      </c>
      <c r="C81" t="s">
        <v>62</v>
      </c>
      <c r="D81">
        <v>38</v>
      </c>
      <c r="E81" t="s">
        <v>320</v>
      </c>
      <c r="F81" t="s">
        <v>40</v>
      </c>
      <c r="G81" t="s">
        <v>188</v>
      </c>
      <c r="H81">
        <v>9</v>
      </c>
      <c r="I81">
        <v>207.13</v>
      </c>
      <c r="J81">
        <v>1864.17</v>
      </c>
      <c r="K81">
        <v>27.76</v>
      </c>
      <c r="L81" s="7">
        <v>45562</v>
      </c>
      <c r="M81" t="str">
        <f>TEXT(customer_demographic_sales_data[[#This Row],[Purchase_Date]],"YYYY-MM")</f>
        <v>2024-09</v>
      </c>
    </row>
    <row r="82" spans="1:13" x14ac:dyDescent="0.25">
      <c r="A82" t="s">
        <v>321</v>
      </c>
      <c r="B82" t="s">
        <v>322</v>
      </c>
      <c r="C82" t="s">
        <v>38</v>
      </c>
      <c r="D82">
        <v>63</v>
      </c>
      <c r="E82" t="s">
        <v>323</v>
      </c>
      <c r="F82" t="s">
        <v>58</v>
      </c>
      <c r="G82" t="s">
        <v>73</v>
      </c>
      <c r="H82">
        <v>4</v>
      </c>
      <c r="I82">
        <v>175.25</v>
      </c>
      <c r="J82">
        <v>701</v>
      </c>
      <c r="K82">
        <v>18.64</v>
      </c>
      <c r="L82" s="7">
        <v>45637</v>
      </c>
      <c r="M82" t="str">
        <f>TEXT(customer_demographic_sales_data[[#This Row],[Purchase_Date]],"YYYY-MM")</f>
        <v>2024-12</v>
      </c>
    </row>
    <row r="83" spans="1:13" x14ac:dyDescent="0.25">
      <c r="A83" t="s">
        <v>324</v>
      </c>
      <c r="B83" t="s">
        <v>325</v>
      </c>
      <c r="C83" t="s">
        <v>38</v>
      </c>
      <c r="D83">
        <v>21</v>
      </c>
      <c r="E83" t="s">
        <v>326</v>
      </c>
      <c r="F83" t="s">
        <v>46</v>
      </c>
      <c r="G83" t="s">
        <v>73</v>
      </c>
      <c r="H83">
        <v>4</v>
      </c>
      <c r="I83">
        <v>1674.14</v>
      </c>
      <c r="J83">
        <v>6696.56</v>
      </c>
      <c r="K83">
        <v>15.22</v>
      </c>
      <c r="L83" s="7">
        <v>45461</v>
      </c>
      <c r="M83" t="str">
        <f>TEXT(customer_demographic_sales_data[[#This Row],[Purchase_Date]],"YYYY-MM")</f>
        <v>2024-06</v>
      </c>
    </row>
    <row r="84" spans="1:13" x14ac:dyDescent="0.25">
      <c r="A84" t="s">
        <v>327</v>
      </c>
      <c r="B84" t="s">
        <v>328</v>
      </c>
      <c r="C84" t="s">
        <v>38</v>
      </c>
      <c r="D84">
        <v>18</v>
      </c>
      <c r="E84" t="s">
        <v>329</v>
      </c>
      <c r="F84" t="s">
        <v>102</v>
      </c>
      <c r="G84" t="s">
        <v>73</v>
      </c>
      <c r="H84">
        <v>6</v>
      </c>
      <c r="I84">
        <v>632.29</v>
      </c>
      <c r="J84">
        <v>3793.74</v>
      </c>
      <c r="K84">
        <v>29.9</v>
      </c>
      <c r="L84" s="7">
        <v>45903</v>
      </c>
      <c r="M84" t="str">
        <f>TEXT(customer_demographic_sales_data[[#This Row],[Purchase_Date]],"YYYY-MM")</f>
        <v>2025-09</v>
      </c>
    </row>
    <row r="85" spans="1:13" x14ac:dyDescent="0.25">
      <c r="A85" t="s">
        <v>330</v>
      </c>
      <c r="B85" t="s">
        <v>331</v>
      </c>
      <c r="C85" t="s">
        <v>38</v>
      </c>
      <c r="D85">
        <v>52</v>
      </c>
      <c r="E85" t="s">
        <v>332</v>
      </c>
      <c r="F85" t="s">
        <v>40</v>
      </c>
      <c r="G85" t="s">
        <v>64</v>
      </c>
      <c r="H85">
        <v>10</v>
      </c>
      <c r="I85">
        <v>1800.73</v>
      </c>
      <c r="J85">
        <v>18007.3</v>
      </c>
      <c r="K85">
        <v>17.43</v>
      </c>
      <c r="L85" s="7">
        <v>46016</v>
      </c>
      <c r="M85" t="str">
        <f>TEXT(customer_demographic_sales_data[[#This Row],[Purchase_Date]],"YYYY-MM")</f>
        <v>2025-12</v>
      </c>
    </row>
    <row r="86" spans="1:13" x14ac:dyDescent="0.25">
      <c r="A86" t="s">
        <v>333</v>
      </c>
      <c r="B86" t="s">
        <v>334</v>
      </c>
      <c r="C86" t="s">
        <v>51</v>
      </c>
      <c r="D86">
        <v>19</v>
      </c>
      <c r="E86" t="s">
        <v>335</v>
      </c>
      <c r="F86" t="s">
        <v>102</v>
      </c>
      <c r="G86" t="s">
        <v>53</v>
      </c>
      <c r="H86">
        <v>7</v>
      </c>
      <c r="I86">
        <v>705.45</v>
      </c>
      <c r="J86">
        <v>4938.1499999999996</v>
      </c>
      <c r="K86">
        <v>6.6</v>
      </c>
      <c r="L86" s="7">
        <v>45504</v>
      </c>
      <c r="M86" t="str">
        <f>TEXT(customer_demographic_sales_data[[#This Row],[Purchase_Date]],"YYYY-MM")</f>
        <v>2024-07</v>
      </c>
    </row>
    <row r="87" spans="1:13" x14ac:dyDescent="0.25">
      <c r="A87" t="s">
        <v>336</v>
      </c>
      <c r="B87" t="s">
        <v>337</v>
      </c>
      <c r="C87" t="s">
        <v>51</v>
      </c>
      <c r="D87">
        <v>47</v>
      </c>
      <c r="E87" t="s">
        <v>338</v>
      </c>
      <c r="F87" t="s">
        <v>46</v>
      </c>
      <c r="G87" t="s">
        <v>188</v>
      </c>
      <c r="H87">
        <v>3</v>
      </c>
      <c r="I87">
        <v>1962.41</v>
      </c>
      <c r="J87">
        <v>5887.23</v>
      </c>
      <c r="K87">
        <v>23.68</v>
      </c>
      <c r="L87" s="7">
        <v>45480</v>
      </c>
      <c r="M87" t="str">
        <f>TEXT(customer_demographic_sales_data[[#This Row],[Purchase_Date]],"YYYY-MM")</f>
        <v>2024-07</v>
      </c>
    </row>
    <row r="88" spans="1:13" x14ac:dyDescent="0.25">
      <c r="A88" t="s">
        <v>339</v>
      </c>
      <c r="B88" t="s">
        <v>340</v>
      </c>
      <c r="C88" t="s">
        <v>38</v>
      </c>
      <c r="D88">
        <v>60</v>
      </c>
      <c r="E88" t="s">
        <v>341</v>
      </c>
      <c r="F88" t="s">
        <v>40</v>
      </c>
      <c r="G88" t="s">
        <v>188</v>
      </c>
      <c r="H88">
        <v>1</v>
      </c>
      <c r="I88">
        <v>213.7</v>
      </c>
      <c r="J88">
        <v>213.7</v>
      </c>
      <c r="K88">
        <v>7.27</v>
      </c>
      <c r="L88" s="7">
        <v>46039</v>
      </c>
      <c r="M88" t="str">
        <f>TEXT(customer_demographic_sales_data[[#This Row],[Purchase_Date]],"YYYY-MM")</f>
        <v>2026-01</v>
      </c>
    </row>
    <row r="89" spans="1:13" x14ac:dyDescent="0.25">
      <c r="A89" t="s">
        <v>342</v>
      </c>
      <c r="B89" t="s">
        <v>343</v>
      </c>
      <c r="C89" t="s">
        <v>38</v>
      </c>
      <c r="D89">
        <v>34</v>
      </c>
      <c r="E89" t="s">
        <v>344</v>
      </c>
      <c r="F89" t="s">
        <v>58</v>
      </c>
      <c r="G89" t="s">
        <v>64</v>
      </c>
      <c r="H89">
        <v>7</v>
      </c>
      <c r="I89">
        <v>688.34</v>
      </c>
      <c r="J89">
        <v>4818.38</v>
      </c>
      <c r="K89">
        <v>30.45</v>
      </c>
      <c r="L89" s="7">
        <v>45430</v>
      </c>
      <c r="M89" t="str">
        <f>TEXT(customer_demographic_sales_data[[#This Row],[Purchase_Date]],"YYYY-MM")</f>
        <v>2024-05</v>
      </c>
    </row>
    <row r="90" spans="1:13" x14ac:dyDescent="0.25">
      <c r="A90" t="s">
        <v>345</v>
      </c>
      <c r="B90" t="s">
        <v>346</v>
      </c>
      <c r="C90" t="s">
        <v>38</v>
      </c>
      <c r="D90">
        <v>42</v>
      </c>
      <c r="E90" t="s">
        <v>347</v>
      </c>
      <c r="F90" t="s">
        <v>58</v>
      </c>
      <c r="G90" t="s">
        <v>47</v>
      </c>
      <c r="H90">
        <v>5</v>
      </c>
      <c r="I90">
        <v>1516.42</v>
      </c>
      <c r="J90">
        <v>7582.1</v>
      </c>
      <c r="K90">
        <v>18.809999999999999</v>
      </c>
      <c r="L90" s="7">
        <v>45970</v>
      </c>
      <c r="M90" t="str">
        <f>TEXT(customer_demographic_sales_data[[#This Row],[Purchase_Date]],"YYYY-MM")</f>
        <v>2025-11</v>
      </c>
    </row>
    <row r="91" spans="1:13" x14ac:dyDescent="0.25">
      <c r="A91" t="s">
        <v>348</v>
      </c>
      <c r="B91" t="s">
        <v>349</v>
      </c>
      <c r="C91" t="s">
        <v>38</v>
      </c>
      <c r="D91">
        <v>65</v>
      </c>
      <c r="E91" t="s">
        <v>350</v>
      </c>
      <c r="F91" t="s">
        <v>40</v>
      </c>
      <c r="G91" t="s">
        <v>53</v>
      </c>
      <c r="H91">
        <v>9</v>
      </c>
      <c r="I91">
        <v>151.57</v>
      </c>
      <c r="J91">
        <v>1364.13</v>
      </c>
      <c r="K91">
        <v>2.74</v>
      </c>
      <c r="L91" s="7">
        <v>46022</v>
      </c>
      <c r="M91" t="str">
        <f>TEXT(customer_demographic_sales_data[[#This Row],[Purchase_Date]],"YYYY-MM")</f>
        <v>2025-12</v>
      </c>
    </row>
    <row r="92" spans="1:13" x14ac:dyDescent="0.25">
      <c r="A92" t="s">
        <v>351</v>
      </c>
      <c r="B92" t="s">
        <v>352</v>
      </c>
      <c r="C92" t="s">
        <v>62</v>
      </c>
      <c r="D92">
        <v>59</v>
      </c>
      <c r="E92" t="s">
        <v>353</v>
      </c>
      <c r="F92" t="s">
        <v>40</v>
      </c>
      <c r="G92" t="s">
        <v>47</v>
      </c>
      <c r="H92">
        <v>1</v>
      </c>
      <c r="I92">
        <v>1520.75</v>
      </c>
      <c r="J92">
        <v>1520.75</v>
      </c>
      <c r="K92">
        <v>24.85</v>
      </c>
      <c r="L92" s="7">
        <v>45637</v>
      </c>
      <c r="M92" t="str">
        <f>TEXT(customer_demographic_sales_data[[#This Row],[Purchase_Date]],"YYYY-MM")</f>
        <v>2024-12</v>
      </c>
    </row>
    <row r="93" spans="1:13" x14ac:dyDescent="0.25">
      <c r="A93" t="s">
        <v>354</v>
      </c>
      <c r="B93" t="s">
        <v>355</v>
      </c>
      <c r="C93" t="s">
        <v>62</v>
      </c>
      <c r="D93">
        <v>33</v>
      </c>
      <c r="E93" t="s">
        <v>356</v>
      </c>
      <c r="F93" t="s">
        <v>40</v>
      </c>
      <c r="G93" t="s">
        <v>188</v>
      </c>
      <c r="H93">
        <v>3</v>
      </c>
      <c r="I93">
        <v>973.44</v>
      </c>
      <c r="J93">
        <v>2920.32</v>
      </c>
      <c r="K93">
        <v>27.98</v>
      </c>
      <c r="L93" s="7">
        <v>46081</v>
      </c>
      <c r="M93" t="str">
        <f>TEXT(customer_demographic_sales_data[[#This Row],[Purchase_Date]],"YYYY-MM")</f>
        <v>2026-02</v>
      </c>
    </row>
    <row r="94" spans="1:13" x14ac:dyDescent="0.25">
      <c r="A94" t="s">
        <v>357</v>
      </c>
      <c r="B94" t="s">
        <v>358</v>
      </c>
      <c r="C94" t="s">
        <v>51</v>
      </c>
      <c r="D94">
        <v>67</v>
      </c>
      <c r="E94" t="s">
        <v>359</v>
      </c>
      <c r="F94" t="s">
        <v>46</v>
      </c>
      <c r="G94" t="s">
        <v>41</v>
      </c>
      <c r="H94">
        <v>6</v>
      </c>
      <c r="I94">
        <v>377.19</v>
      </c>
      <c r="J94">
        <v>2263.14</v>
      </c>
      <c r="K94">
        <v>38.590000000000003</v>
      </c>
      <c r="L94" s="7">
        <v>45852</v>
      </c>
      <c r="M94" t="str">
        <f>TEXT(customer_demographic_sales_data[[#This Row],[Purchase_Date]],"YYYY-MM")</f>
        <v>2025-07</v>
      </c>
    </row>
    <row r="95" spans="1:13" x14ac:dyDescent="0.25">
      <c r="A95" t="s">
        <v>360</v>
      </c>
      <c r="B95" t="s">
        <v>361</v>
      </c>
      <c r="C95" t="s">
        <v>38</v>
      </c>
      <c r="D95">
        <v>24</v>
      </c>
      <c r="E95" t="s">
        <v>362</v>
      </c>
      <c r="F95" t="s">
        <v>102</v>
      </c>
      <c r="G95" t="s">
        <v>188</v>
      </c>
      <c r="H95">
        <v>10</v>
      </c>
      <c r="I95">
        <v>100.07</v>
      </c>
      <c r="J95">
        <v>1000.7</v>
      </c>
      <c r="K95">
        <v>37.659999999999997</v>
      </c>
      <c r="L95" s="7">
        <v>45957</v>
      </c>
      <c r="M95" t="str">
        <f>TEXT(customer_demographic_sales_data[[#This Row],[Purchase_Date]],"YYYY-MM")</f>
        <v>2025-10</v>
      </c>
    </row>
    <row r="96" spans="1:13" x14ac:dyDescent="0.25">
      <c r="A96" t="s">
        <v>363</v>
      </c>
      <c r="B96" t="s">
        <v>364</v>
      </c>
      <c r="C96" t="s">
        <v>51</v>
      </c>
      <c r="D96">
        <v>30</v>
      </c>
      <c r="E96" t="s">
        <v>365</v>
      </c>
      <c r="F96" t="s">
        <v>40</v>
      </c>
      <c r="G96" t="s">
        <v>47</v>
      </c>
      <c r="H96">
        <v>2</v>
      </c>
      <c r="I96">
        <v>1204.5899999999999</v>
      </c>
      <c r="J96">
        <v>2409.1799999999998</v>
      </c>
      <c r="K96">
        <v>27.89</v>
      </c>
      <c r="L96" s="7">
        <v>45958</v>
      </c>
      <c r="M96" t="str">
        <f>TEXT(customer_demographic_sales_data[[#This Row],[Purchase_Date]],"YYYY-MM")</f>
        <v>2025-10</v>
      </c>
    </row>
    <row r="97" spans="1:13" x14ac:dyDescent="0.25">
      <c r="A97" t="s">
        <v>366</v>
      </c>
      <c r="B97" t="s">
        <v>367</v>
      </c>
      <c r="C97" t="s">
        <v>51</v>
      </c>
      <c r="D97">
        <v>37</v>
      </c>
      <c r="E97" t="s">
        <v>368</v>
      </c>
      <c r="F97" t="s">
        <v>46</v>
      </c>
      <c r="G97" t="s">
        <v>64</v>
      </c>
      <c r="H97">
        <v>10</v>
      </c>
      <c r="I97">
        <v>1620.78</v>
      </c>
      <c r="J97">
        <v>16207.8</v>
      </c>
      <c r="K97">
        <v>21.31</v>
      </c>
      <c r="L97" s="7">
        <v>45677</v>
      </c>
      <c r="M97" t="str">
        <f>TEXT(customer_demographic_sales_data[[#This Row],[Purchase_Date]],"YYYY-MM")</f>
        <v>2025-01</v>
      </c>
    </row>
    <row r="98" spans="1:13" x14ac:dyDescent="0.25">
      <c r="A98" t="s">
        <v>369</v>
      </c>
      <c r="B98" t="s">
        <v>370</v>
      </c>
      <c r="C98" t="s">
        <v>51</v>
      </c>
      <c r="D98">
        <v>60</v>
      </c>
      <c r="E98" t="s">
        <v>371</v>
      </c>
      <c r="F98" t="s">
        <v>58</v>
      </c>
      <c r="G98" t="s">
        <v>47</v>
      </c>
      <c r="H98">
        <v>6</v>
      </c>
      <c r="I98">
        <v>184.47</v>
      </c>
      <c r="J98">
        <v>1106.82</v>
      </c>
      <c r="K98">
        <v>33.979999999999997</v>
      </c>
      <c r="L98" s="7">
        <v>45666</v>
      </c>
      <c r="M98" t="str">
        <f>TEXT(customer_demographic_sales_data[[#This Row],[Purchase_Date]],"YYYY-MM")</f>
        <v>2025-01</v>
      </c>
    </row>
    <row r="99" spans="1:13" x14ac:dyDescent="0.25">
      <c r="A99" t="s">
        <v>372</v>
      </c>
      <c r="B99" t="s">
        <v>373</v>
      </c>
      <c r="C99" t="s">
        <v>38</v>
      </c>
      <c r="D99">
        <v>70</v>
      </c>
      <c r="E99" t="s">
        <v>374</v>
      </c>
      <c r="F99" t="s">
        <v>102</v>
      </c>
      <c r="G99" t="s">
        <v>53</v>
      </c>
      <c r="H99">
        <v>8</v>
      </c>
      <c r="I99">
        <v>255.8</v>
      </c>
      <c r="J99">
        <v>2046.4</v>
      </c>
      <c r="K99">
        <v>6.12</v>
      </c>
      <c r="L99" s="7">
        <v>45797</v>
      </c>
      <c r="M99" t="str">
        <f>TEXT(customer_demographic_sales_data[[#This Row],[Purchase_Date]],"YYYY-MM")</f>
        <v>2025-05</v>
      </c>
    </row>
    <row r="100" spans="1:13" x14ac:dyDescent="0.25">
      <c r="A100" t="s">
        <v>375</v>
      </c>
      <c r="B100" t="s">
        <v>376</v>
      </c>
      <c r="C100" t="s">
        <v>38</v>
      </c>
      <c r="D100">
        <v>29</v>
      </c>
      <c r="E100" t="s">
        <v>377</v>
      </c>
      <c r="F100" t="s">
        <v>102</v>
      </c>
      <c r="G100" t="s">
        <v>188</v>
      </c>
      <c r="H100">
        <v>9</v>
      </c>
      <c r="I100">
        <v>1932.67</v>
      </c>
      <c r="J100">
        <v>17394.03</v>
      </c>
      <c r="K100">
        <v>17.420000000000002</v>
      </c>
      <c r="L100" s="7">
        <v>45651</v>
      </c>
      <c r="M100" t="str">
        <f>TEXT(customer_demographic_sales_data[[#This Row],[Purchase_Date]],"YYYY-MM")</f>
        <v>2024-12</v>
      </c>
    </row>
    <row r="101" spans="1:13" x14ac:dyDescent="0.25">
      <c r="A101" t="s">
        <v>378</v>
      </c>
      <c r="B101" t="s">
        <v>121</v>
      </c>
      <c r="C101" t="s">
        <v>62</v>
      </c>
      <c r="D101">
        <v>64</v>
      </c>
      <c r="E101" t="s">
        <v>379</v>
      </c>
      <c r="F101" t="s">
        <v>46</v>
      </c>
      <c r="G101" t="s">
        <v>64</v>
      </c>
      <c r="H101">
        <v>10</v>
      </c>
      <c r="I101">
        <v>573.37</v>
      </c>
      <c r="J101">
        <v>5733.7</v>
      </c>
      <c r="K101">
        <v>35.270000000000003</v>
      </c>
      <c r="L101" s="7">
        <v>45463</v>
      </c>
      <c r="M101" t="str">
        <f>TEXT(customer_demographic_sales_data[[#This Row],[Purchase_Date]],"YYYY-MM")</f>
        <v>2024-06</v>
      </c>
    </row>
    <row r="102" spans="1:13" x14ac:dyDescent="0.25">
      <c r="A102" t="s">
        <v>380</v>
      </c>
      <c r="B102" t="s">
        <v>381</v>
      </c>
      <c r="C102" t="s">
        <v>51</v>
      </c>
      <c r="D102">
        <v>33</v>
      </c>
      <c r="E102" t="s">
        <v>382</v>
      </c>
      <c r="F102" t="s">
        <v>102</v>
      </c>
      <c r="G102" t="s">
        <v>64</v>
      </c>
      <c r="H102">
        <v>8</v>
      </c>
      <c r="I102">
        <v>1161.21</v>
      </c>
      <c r="J102">
        <v>9289.68</v>
      </c>
      <c r="K102">
        <v>1.1499999999999999</v>
      </c>
      <c r="L102" s="7">
        <v>45866</v>
      </c>
      <c r="M102" t="str">
        <f>TEXT(customer_demographic_sales_data[[#This Row],[Purchase_Date]],"YYYY-MM")</f>
        <v>2025-07</v>
      </c>
    </row>
    <row r="103" spans="1:13" x14ac:dyDescent="0.25">
      <c r="A103" t="s">
        <v>383</v>
      </c>
      <c r="B103" t="s">
        <v>384</v>
      </c>
      <c r="C103" t="s">
        <v>38</v>
      </c>
      <c r="D103">
        <v>38</v>
      </c>
      <c r="E103" t="s">
        <v>385</v>
      </c>
      <c r="F103" t="s">
        <v>58</v>
      </c>
      <c r="G103" t="s">
        <v>64</v>
      </c>
      <c r="H103">
        <v>3</v>
      </c>
      <c r="I103">
        <v>1000.72</v>
      </c>
      <c r="J103">
        <v>3002.16</v>
      </c>
      <c r="K103">
        <v>11.19</v>
      </c>
      <c r="L103" s="7">
        <v>45509</v>
      </c>
      <c r="M103" t="str">
        <f>TEXT(customer_demographic_sales_data[[#This Row],[Purchase_Date]],"YYYY-MM")</f>
        <v>2024-08</v>
      </c>
    </row>
    <row r="104" spans="1:13" x14ac:dyDescent="0.25">
      <c r="A104" t="s">
        <v>386</v>
      </c>
      <c r="B104" t="s">
        <v>387</v>
      </c>
      <c r="C104" t="s">
        <v>51</v>
      </c>
      <c r="D104">
        <v>56</v>
      </c>
      <c r="E104" t="s">
        <v>388</v>
      </c>
      <c r="F104" t="s">
        <v>40</v>
      </c>
      <c r="G104" t="s">
        <v>47</v>
      </c>
      <c r="H104">
        <v>5</v>
      </c>
      <c r="I104">
        <v>1133.79</v>
      </c>
      <c r="J104">
        <v>5668.95</v>
      </c>
      <c r="K104">
        <v>9.65</v>
      </c>
      <c r="L104" s="7">
        <v>45656</v>
      </c>
      <c r="M104" t="str">
        <f>TEXT(customer_demographic_sales_data[[#This Row],[Purchase_Date]],"YYYY-MM")</f>
        <v>2024-12</v>
      </c>
    </row>
    <row r="105" spans="1:13" x14ac:dyDescent="0.25">
      <c r="A105" t="s">
        <v>389</v>
      </c>
      <c r="B105" t="s">
        <v>390</v>
      </c>
      <c r="C105" t="s">
        <v>62</v>
      </c>
      <c r="D105">
        <v>44</v>
      </c>
      <c r="E105" t="s">
        <v>391</v>
      </c>
      <c r="F105" t="s">
        <v>102</v>
      </c>
      <c r="G105" t="s">
        <v>53</v>
      </c>
      <c r="H105">
        <v>8</v>
      </c>
      <c r="I105">
        <v>1132.5899999999999</v>
      </c>
      <c r="J105">
        <v>9060.7199999999993</v>
      </c>
      <c r="K105">
        <v>28.47</v>
      </c>
      <c r="L105" s="7">
        <v>46023</v>
      </c>
      <c r="M105" t="str">
        <f>TEXT(customer_demographic_sales_data[[#This Row],[Purchase_Date]],"YYYY-MM")</f>
        <v>2026-01</v>
      </c>
    </row>
    <row r="106" spans="1:13" x14ac:dyDescent="0.25">
      <c r="A106" t="s">
        <v>392</v>
      </c>
      <c r="B106" t="s">
        <v>393</v>
      </c>
      <c r="C106" t="s">
        <v>62</v>
      </c>
      <c r="D106">
        <v>46</v>
      </c>
      <c r="E106" t="s">
        <v>394</v>
      </c>
      <c r="F106" t="s">
        <v>102</v>
      </c>
      <c r="G106" t="s">
        <v>53</v>
      </c>
      <c r="H106">
        <v>1</v>
      </c>
      <c r="I106">
        <v>231.45</v>
      </c>
      <c r="J106">
        <v>231.45</v>
      </c>
      <c r="K106">
        <v>9.73</v>
      </c>
      <c r="L106" s="7">
        <v>45894</v>
      </c>
      <c r="M106" t="str">
        <f>TEXT(customer_demographic_sales_data[[#This Row],[Purchase_Date]],"YYYY-MM")</f>
        <v>2025-08</v>
      </c>
    </row>
    <row r="107" spans="1:13" x14ac:dyDescent="0.25">
      <c r="A107" t="s">
        <v>395</v>
      </c>
      <c r="B107" t="s">
        <v>396</v>
      </c>
      <c r="C107" t="s">
        <v>51</v>
      </c>
      <c r="D107">
        <v>60</v>
      </c>
      <c r="E107" t="s">
        <v>397</v>
      </c>
      <c r="F107" t="s">
        <v>58</v>
      </c>
      <c r="G107" t="s">
        <v>188</v>
      </c>
      <c r="H107">
        <v>10</v>
      </c>
      <c r="I107">
        <v>769.59</v>
      </c>
      <c r="J107">
        <v>7695.9</v>
      </c>
      <c r="K107">
        <v>39.869999999999997</v>
      </c>
      <c r="L107" s="7">
        <v>45542</v>
      </c>
      <c r="M107" t="str">
        <f>TEXT(customer_demographic_sales_data[[#This Row],[Purchase_Date]],"YYYY-MM")</f>
        <v>2024-09</v>
      </c>
    </row>
    <row r="108" spans="1:13" x14ac:dyDescent="0.25">
      <c r="A108" t="s">
        <v>398</v>
      </c>
      <c r="B108" t="s">
        <v>399</v>
      </c>
      <c r="C108" t="s">
        <v>38</v>
      </c>
      <c r="D108">
        <v>53</v>
      </c>
      <c r="E108" t="s">
        <v>400</v>
      </c>
      <c r="F108" t="s">
        <v>58</v>
      </c>
      <c r="G108" t="s">
        <v>64</v>
      </c>
      <c r="H108">
        <v>6</v>
      </c>
      <c r="I108">
        <v>736.03</v>
      </c>
      <c r="J108">
        <v>4416.18</v>
      </c>
      <c r="K108">
        <v>10.06</v>
      </c>
      <c r="L108" s="7">
        <v>45647</v>
      </c>
      <c r="M108" t="str">
        <f>TEXT(customer_demographic_sales_data[[#This Row],[Purchase_Date]],"YYYY-MM")</f>
        <v>2024-12</v>
      </c>
    </row>
    <row r="109" spans="1:13" x14ac:dyDescent="0.25">
      <c r="A109" t="s">
        <v>401</v>
      </c>
      <c r="B109" t="s">
        <v>402</v>
      </c>
      <c r="C109" t="s">
        <v>51</v>
      </c>
      <c r="D109">
        <v>25</v>
      </c>
      <c r="E109" t="s">
        <v>403</v>
      </c>
      <c r="F109" t="s">
        <v>40</v>
      </c>
      <c r="G109" t="s">
        <v>41</v>
      </c>
      <c r="H109">
        <v>4</v>
      </c>
      <c r="I109">
        <v>665.32</v>
      </c>
      <c r="J109">
        <v>2661.28</v>
      </c>
      <c r="K109">
        <v>8.66</v>
      </c>
      <c r="L109" s="7">
        <v>46138</v>
      </c>
      <c r="M109" t="str">
        <f>TEXT(customer_demographic_sales_data[[#This Row],[Purchase_Date]],"YYYY-MM")</f>
        <v>2026-04</v>
      </c>
    </row>
    <row r="110" spans="1:13" x14ac:dyDescent="0.25">
      <c r="A110" t="s">
        <v>404</v>
      </c>
      <c r="B110" t="s">
        <v>405</v>
      </c>
      <c r="C110" t="s">
        <v>51</v>
      </c>
      <c r="D110">
        <v>48</v>
      </c>
      <c r="E110" t="s">
        <v>406</v>
      </c>
      <c r="F110" t="s">
        <v>58</v>
      </c>
      <c r="G110" t="s">
        <v>47</v>
      </c>
      <c r="H110">
        <v>5</v>
      </c>
      <c r="I110">
        <v>1462.94</v>
      </c>
      <c r="J110">
        <v>7314.7</v>
      </c>
      <c r="K110">
        <v>33.31</v>
      </c>
      <c r="L110" s="7">
        <v>45595</v>
      </c>
      <c r="M110" t="str">
        <f>TEXT(customer_demographic_sales_data[[#This Row],[Purchase_Date]],"YYYY-MM")</f>
        <v>2024-10</v>
      </c>
    </row>
    <row r="111" spans="1:13" x14ac:dyDescent="0.25">
      <c r="A111" t="s">
        <v>407</v>
      </c>
      <c r="B111" t="s">
        <v>408</v>
      </c>
      <c r="C111" t="s">
        <v>38</v>
      </c>
      <c r="D111">
        <v>36</v>
      </c>
      <c r="E111" t="s">
        <v>409</v>
      </c>
      <c r="F111" t="s">
        <v>46</v>
      </c>
      <c r="G111" t="s">
        <v>53</v>
      </c>
      <c r="H111">
        <v>4</v>
      </c>
      <c r="I111">
        <v>753.72</v>
      </c>
      <c r="J111">
        <v>3014.88</v>
      </c>
      <c r="K111">
        <v>21.37</v>
      </c>
      <c r="L111" s="7">
        <v>45883</v>
      </c>
      <c r="M111" t="str">
        <f>TEXT(customer_demographic_sales_data[[#This Row],[Purchase_Date]],"YYYY-MM")</f>
        <v>2025-08</v>
      </c>
    </row>
    <row r="112" spans="1:13" x14ac:dyDescent="0.25">
      <c r="A112" t="s">
        <v>410</v>
      </c>
      <c r="B112" t="s">
        <v>411</v>
      </c>
      <c r="C112" t="s">
        <v>51</v>
      </c>
      <c r="D112">
        <v>35</v>
      </c>
      <c r="E112" t="s">
        <v>412</v>
      </c>
      <c r="F112" t="s">
        <v>58</v>
      </c>
      <c r="G112" t="s">
        <v>53</v>
      </c>
      <c r="H112">
        <v>1</v>
      </c>
      <c r="I112">
        <v>1949.88</v>
      </c>
      <c r="J112">
        <v>1949.88</v>
      </c>
      <c r="K112">
        <v>37.76</v>
      </c>
      <c r="L112" s="7">
        <v>45632</v>
      </c>
      <c r="M112" t="str">
        <f>TEXT(customer_demographic_sales_data[[#This Row],[Purchase_Date]],"YYYY-MM")</f>
        <v>2024-12</v>
      </c>
    </row>
    <row r="113" spans="1:13" x14ac:dyDescent="0.25">
      <c r="A113" t="s">
        <v>413</v>
      </c>
      <c r="B113" t="s">
        <v>414</v>
      </c>
      <c r="C113" t="s">
        <v>62</v>
      </c>
      <c r="D113">
        <v>58</v>
      </c>
      <c r="E113" t="s">
        <v>415</v>
      </c>
      <c r="F113" t="s">
        <v>58</v>
      </c>
      <c r="G113" t="s">
        <v>188</v>
      </c>
      <c r="H113">
        <v>8</v>
      </c>
      <c r="I113">
        <v>250.05</v>
      </c>
      <c r="J113">
        <v>2000.4</v>
      </c>
      <c r="K113">
        <v>19.149999999999999</v>
      </c>
      <c r="L113" s="7">
        <v>45441</v>
      </c>
      <c r="M113" t="str">
        <f>TEXT(customer_demographic_sales_data[[#This Row],[Purchase_Date]],"YYYY-MM")</f>
        <v>2024-05</v>
      </c>
    </row>
    <row r="114" spans="1:13" x14ac:dyDescent="0.25">
      <c r="A114" t="s">
        <v>416</v>
      </c>
      <c r="B114" t="s">
        <v>417</v>
      </c>
      <c r="C114" t="s">
        <v>38</v>
      </c>
      <c r="D114">
        <v>39</v>
      </c>
      <c r="E114" t="s">
        <v>418</v>
      </c>
      <c r="F114" t="s">
        <v>102</v>
      </c>
      <c r="G114" t="s">
        <v>47</v>
      </c>
      <c r="H114">
        <v>3</v>
      </c>
      <c r="I114">
        <v>1932.72</v>
      </c>
      <c r="J114">
        <v>5798.16</v>
      </c>
      <c r="K114">
        <v>32.880000000000003</v>
      </c>
      <c r="L114" s="7">
        <v>45868</v>
      </c>
      <c r="M114" t="str">
        <f>TEXT(customer_demographic_sales_data[[#This Row],[Purchase_Date]],"YYYY-MM")</f>
        <v>2025-07</v>
      </c>
    </row>
    <row r="115" spans="1:13" x14ac:dyDescent="0.25">
      <c r="A115" t="s">
        <v>419</v>
      </c>
      <c r="B115" t="s">
        <v>420</v>
      </c>
      <c r="C115" t="s">
        <v>51</v>
      </c>
      <c r="D115">
        <v>43</v>
      </c>
      <c r="E115" t="s">
        <v>421</v>
      </c>
      <c r="F115" t="s">
        <v>46</v>
      </c>
      <c r="G115" t="s">
        <v>41</v>
      </c>
      <c r="H115">
        <v>8</v>
      </c>
      <c r="I115">
        <v>194.46</v>
      </c>
      <c r="J115">
        <v>1555.68</v>
      </c>
      <c r="K115">
        <v>5.97</v>
      </c>
      <c r="L115" s="7">
        <v>45875</v>
      </c>
      <c r="M115" t="str">
        <f>TEXT(customer_demographic_sales_data[[#This Row],[Purchase_Date]],"YYYY-MM")</f>
        <v>2025-08</v>
      </c>
    </row>
    <row r="116" spans="1:13" x14ac:dyDescent="0.25">
      <c r="A116" t="s">
        <v>422</v>
      </c>
      <c r="B116" t="s">
        <v>423</v>
      </c>
      <c r="C116" t="s">
        <v>62</v>
      </c>
      <c r="D116">
        <v>54</v>
      </c>
      <c r="E116" t="s">
        <v>424</v>
      </c>
      <c r="F116" t="s">
        <v>46</v>
      </c>
      <c r="G116" t="s">
        <v>73</v>
      </c>
      <c r="H116">
        <v>5</v>
      </c>
      <c r="I116">
        <v>216.1</v>
      </c>
      <c r="J116">
        <v>1080.5</v>
      </c>
      <c r="K116">
        <v>30.58</v>
      </c>
      <c r="L116" s="7">
        <v>45670</v>
      </c>
      <c r="M116" t="str">
        <f>TEXT(customer_demographic_sales_data[[#This Row],[Purchase_Date]],"YYYY-MM")</f>
        <v>2025-01</v>
      </c>
    </row>
    <row r="117" spans="1:13" x14ac:dyDescent="0.25">
      <c r="A117" t="s">
        <v>425</v>
      </c>
      <c r="B117" t="s">
        <v>426</v>
      </c>
      <c r="C117" t="s">
        <v>62</v>
      </c>
      <c r="D117">
        <v>56</v>
      </c>
      <c r="E117" t="s">
        <v>427</v>
      </c>
      <c r="F117" t="s">
        <v>102</v>
      </c>
      <c r="G117" t="s">
        <v>188</v>
      </c>
      <c r="H117">
        <v>10</v>
      </c>
      <c r="I117">
        <v>1591.94</v>
      </c>
      <c r="J117">
        <v>15919.4</v>
      </c>
      <c r="K117">
        <v>36.340000000000003</v>
      </c>
      <c r="L117" s="7">
        <v>46052</v>
      </c>
      <c r="M117" t="str">
        <f>TEXT(customer_demographic_sales_data[[#This Row],[Purchase_Date]],"YYYY-MM")</f>
        <v>2026-01</v>
      </c>
    </row>
    <row r="118" spans="1:13" x14ac:dyDescent="0.25">
      <c r="A118" t="s">
        <v>428</v>
      </c>
      <c r="B118" t="s">
        <v>429</v>
      </c>
      <c r="C118" t="s">
        <v>38</v>
      </c>
      <c r="D118">
        <v>37</v>
      </c>
      <c r="E118" t="s">
        <v>430</v>
      </c>
      <c r="F118" t="s">
        <v>46</v>
      </c>
      <c r="G118" t="s">
        <v>73</v>
      </c>
      <c r="H118">
        <v>10</v>
      </c>
      <c r="I118">
        <v>1980.56</v>
      </c>
      <c r="J118">
        <v>19805.599999999999</v>
      </c>
      <c r="K118">
        <v>38.4</v>
      </c>
      <c r="L118" s="7">
        <v>46092</v>
      </c>
      <c r="M118" t="str">
        <f>TEXT(customer_demographic_sales_data[[#This Row],[Purchase_Date]],"YYYY-MM")</f>
        <v>2026-03</v>
      </c>
    </row>
    <row r="119" spans="1:13" x14ac:dyDescent="0.25">
      <c r="A119" t="s">
        <v>431</v>
      </c>
      <c r="B119" t="s">
        <v>432</v>
      </c>
      <c r="C119" t="s">
        <v>38</v>
      </c>
      <c r="D119">
        <v>24</v>
      </c>
      <c r="E119" t="s">
        <v>433</v>
      </c>
      <c r="F119" t="s">
        <v>46</v>
      </c>
      <c r="G119" t="s">
        <v>41</v>
      </c>
      <c r="H119">
        <v>4</v>
      </c>
      <c r="I119">
        <v>1269.75</v>
      </c>
      <c r="J119">
        <v>5079</v>
      </c>
      <c r="K119">
        <v>9.59</v>
      </c>
      <c r="L119" s="7">
        <v>45823</v>
      </c>
      <c r="M119" t="str">
        <f>TEXT(customer_demographic_sales_data[[#This Row],[Purchase_Date]],"YYYY-MM")</f>
        <v>2025-06</v>
      </c>
    </row>
    <row r="120" spans="1:13" x14ac:dyDescent="0.25">
      <c r="A120" t="s">
        <v>434</v>
      </c>
      <c r="B120" t="s">
        <v>435</v>
      </c>
      <c r="C120" t="s">
        <v>38</v>
      </c>
      <c r="D120">
        <v>53</v>
      </c>
      <c r="E120" t="s">
        <v>436</v>
      </c>
      <c r="F120" t="s">
        <v>102</v>
      </c>
      <c r="G120" t="s">
        <v>53</v>
      </c>
      <c r="H120">
        <v>2</v>
      </c>
      <c r="I120">
        <v>355.24</v>
      </c>
      <c r="J120">
        <v>710.48</v>
      </c>
      <c r="K120">
        <v>23.75</v>
      </c>
      <c r="L120" s="7">
        <v>46141</v>
      </c>
      <c r="M120" t="str">
        <f>TEXT(customer_demographic_sales_data[[#This Row],[Purchase_Date]],"YYYY-MM")</f>
        <v>2026-04</v>
      </c>
    </row>
    <row r="121" spans="1:13" x14ac:dyDescent="0.25">
      <c r="A121" t="s">
        <v>437</v>
      </c>
      <c r="B121" t="s">
        <v>438</v>
      </c>
      <c r="C121" t="s">
        <v>51</v>
      </c>
      <c r="D121">
        <v>36</v>
      </c>
      <c r="E121" t="s">
        <v>439</v>
      </c>
      <c r="F121" t="s">
        <v>58</v>
      </c>
      <c r="G121" t="s">
        <v>53</v>
      </c>
      <c r="H121">
        <v>1</v>
      </c>
      <c r="I121">
        <v>501.38</v>
      </c>
      <c r="J121">
        <v>501.38</v>
      </c>
      <c r="K121">
        <v>34.380000000000003</v>
      </c>
      <c r="L121" s="7">
        <v>45972</v>
      </c>
      <c r="M121" t="str">
        <f>TEXT(customer_demographic_sales_data[[#This Row],[Purchase_Date]],"YYYY-MM")</f>
        <v>2025-11</v>
      </c>
    </row>
    <row r="122" spans="1:13" x14ac:dyDescent="0.25">
      <c r="A122" t="s">
        <v>440</v>
      </c>
      <c r="B122" t="s">
        <v>441</v>
      </c>
      <c r="C122" t="s">
        <v>51</v>
      </c>
      <c r="D122">
        <v>22</v>
      </c>
      <c r="E122" t="s">
        <v>442</v>
      </c>
      <c r="F122" t="s">
        <v>40</v>
      </c>
      <c r="G122" t="s">
        <v>188</v>
      </c>
      <c r="H122">
        <v>4</v>
      </c>
      <c r="I122">
        <v>1851.63</v>
      </c>
      <c r="J122">
        <v>7406.52</v>
      </c>
      <c r="K122">
        <v>4.59</v>
      </c>
      <c r="L122" s="7">
        <v>45779</v>
      </c>
      <c r="M122" t="str">
        <f>TEXT(customer_demographic_sales_data[[#This Row],[Purchase_Date]],"YYYY-MM")</f>
        <v>2025-05</v>
      </c>
    </row>
    <row r="123" spans="1:13" x14ac:dyDescent="0.25">
      <c r="A123" t="s">
        <v>443</v>
      </c>
      <c r="B123" t="s">
        <v>444</v>
      </c>
      <c r="C123" t="s">
        <v>62</v>
      </c>
      <c r="D123">
        <v>32</v>
      </c>
      <c r="E123" t="s">
        <v>215</v>
      </c>
      <c r="F123" t="s">
        <v>46</v>
      </c>
      <c r="G123" t="s">
        <v>47</v>
      </c>
      <c r="H123">
        <v>3</v>
      </c>
      <c r="I123">
        <v>1821.4</v>
      </c>
      <c r="J123">
        <v>5464.2</v>
      </c>
      <c r="K123">
        <v>6.64</v>
      </c>
      <c r="L123" s="7">
        <v>45743</v>
      </c>
      <c r="M123" t="str">
        <f>TEXT(customer_demographic_sales_data[[#This Row],[Purchase_Date]],"YYYY-MM")</f>
        <v>2025-03</v>
      </c>
    </row>
    <row r="124" spans="1:13" x14ac:dyDescent="0.25">
      <c r="A124" t="s">
        <v>445</v>
      </c>
      <c r="B124" t="s">
        <v>446</v>
      </c>
      <c r="C124" t="s">
        <v>51</v>
      </c>
      <c r="D124">
        <v>37</v>
      </c>
      <c r="E124" t="s">
        <v>447</v>
      </c>
      <c r="F124" t="s">
        <v>58</v>
      </c>
      <c r="G124" t="s">
        <v>188</v>
      </c>
      <c r="H124">
        <v>10</v>
      </c>
      <c r="I124">
        <v>1510.47</v>
      </c>
      <c r="J124">
        <v>15104.7</v>
      </c>
      <c r="K124">
        <v>4.97</v>
      </c>
      <c r="L124" s="7">
        <v>45886</v>
      </c>
      <c r="M124" t="str">
        <f>TEXT(customer_demographic_sales_data[[#This Row],[Purchase_Date]],"YYYY-MM")</f>
        <v>2025-08</v>
      </c>
    </row>
    <row r="125" spans="1:13" x14ac:dyDescent="0.25">
      <c r="A125" t="s">
        <v>448</v>
      </c>
      <c r="B125" t="s">
        <v>449</v>
      </c>
      <c r="C125" t="s">
        <v>38</v>
      </c>
      <c r="D125">
        <v>62</v>
      </c>
      <c r="E125" t="s">
        <v>450</v>
      </c>
      <c r="F125" t="s">
        <v>102</v>
      </c>
      <c r="G125" t="s">
        <v>188</v>
      </c>
      <c r="H125">
        <v>5</v>
      </c>
      <c r="I125">
        <v>1414.48</v>
      </c>
      <c r="J125">
        <v>7072.4</v>
      </c>
      <c r="K125">
        <v>3.22</v>
      </c>
      <c r="L125" s="7">
        <v>45684</v>
      </c>
      <c r="M125" t="str">
        <f>TEXT(customer_demographic_sales_data[[#This Row],[Purchase_Date]],"YYYY-MM")</f>
        <v>2025-01</v>
      </c>
    </row>
    <row r="126" spans="1:13" x14ac:dyDescent="0.25">
      <c r="A126" t="s">
        <v>451</v>
      </c>
      <c r="B126" t="s">
        <v>452</v>
      </c>
      <c r="C126" t="s">
        <v>51</v>
      </c>
      <c r="D126">
        <v>20</v>
      </c>
      <c r="E126" t="s">
        <v>453</v>
      </c>
      <c r="F126" t="s">
        <v>58</v>
      </c>
      <c r="G126" t="s">
        <v>47</v>
      </c>
      <c r="H126">
        <v>7</v>
      </c>
      <c r="I126">
        <v>1482.34</v>
      </c>
      <c r="J126">
        <v>10376.379999999999</v>
      </c>
      <c r="K126">
        <v>3.65</v>
      </c>
      <c r="L126" s="7">
        <v>45871</v>
      </c>
      <c r="M126" t="str">
        <f>TEXT(customer_demographic_sales_data[[#This Row],[Purchase_Date]],"YYYY-MM")</f>
        <v>2025-08</v>
      </c>
    </row>
    <row r="127" spans="1:13" x14ac:dyDescent="0.25">
      <c r="A127" t="s">
        <v>454</v>
      </c>
      <c r="B127" t="s">
        <v>455</v>
      </c>
      <c r="C127" t="s">
        <v>62</v>
      </c>
      <c r="D127">
        <v>61</v>
      </c>
      <c r="E127" t="s">
        <v>456</v>
      </c>
      <c r="F127" t="s">
        <v>58</v>
      </c>
      <c r="G127" t="s">
        <v>73</v>
      </c>
      <c r="H127">
        <v>10</v>
      </c>
      <c r="I127">
        <v>1194.8900000000001</v>
      </c>
      <c r="J127">
        <v>11948.9</v>
      </c>
      <c r="K127">
        <v>1.61</v>
      </c>
      <c r="L127" s="7">
        <v>46096</v>
      </c>
      <c r="M127" t="str">
        <f>TEXT(customer_demographic_sales_data[[#This Row],[Purchase_Date]],"YYYY-MM")</f>
        <v>2026-03</v>
      </c>
    </row>
    <row r="128" spans="1:13" x14ac:dyDescent="0.25">
      <c r="A128" t="s">
        <v>457</v>
      </c>
      <c r="B128" t="s">
        <v>458</v>
      </c>
      <c r="C128" t="s">
        <v>51</v>
      </c>
      <c r="D128">
        <v>66</v>
      </c>
      <c r="E128" t="s">
        <v>459</v>
      </c>
      <c r="F128" t="s">
        <v>102</v>
      </c>
      <c r="G128" t="s">
        <v>64</v>
      </c>
      <c r="H128">
        <v>3</v>
      </c>
      <c r="I128">
        <v>967.48</v>
      </c>
      <c r="J128">
        <v>2902.44</v>
      </c>
      <c r="K128">
        <v>7.26</v>
      </c>
      <c r="L128" s="7">
        <v>45454</v>
      </c>
      <c r="M128" t="str">
        <f>TEXT(customer_demographic_sales_data[[#This Row],[Purchase_Date]],"YYYY-MM")</f>
        <v>2024-06</v>
      </c>
    </row>
    <row r="129" spans="1:13" x14ac:dyDescent="0.25">
      <c r="A129" t="s">
        <v>460</v>
      </c>
      <c r="B129" t="s">
        <v>461</v>
      </c>
      <c r="C129" t="s">
        <v>38</v>
      </c>
      <c r="D129">
        <v>55</v>
      </c>
      <c r="E129" t="s">
        <v>462</v>
      </c>
      <c r="F129" t="s">
        <v>46</v>
      </c>
      <c r="G129" t="s">
        <v>188</v>
      </c>
      <c r="H129">
        <v>7</v>
      </c>
      <c r="I129">
        <v>1287.83</v>
      </c>
      <c r="J129">
        <v>9014.81</v>
      </c>
      <c r="K129">
        <v>13.92</v>
      </c>
      <c r="L129" s="7">
        <v>45805</v>
      </c>
      <c r="M129" t="str">
        <f>TEXT(customer_demographic_sales_data[[#This Row],[Purchase_Date]],"YYYY-MM")</f>
        <v>2025-05</v>
      </c>
    </row>
    <row r="130" spans="1:13" x14ac:dyDescent="0.25">
      <c r="A130" t="s">
        <v>463</v>
      </c>
      <c r="B130" t="s">
        <v>464</v>
      </c>
      <c r="C130" t="s">
        <v>62</v>
      </c>
      <c r="D130">
        <v>39</v>
      </c>
      <c r="E130" t="s">
        <v>465</v>
      </c>
      <c r="F130" t="s">
        <v>58</v>
      </c>
      <c r="G130" t="s">
        <v>188</v>
      </c>
      <c r="H130">
        <v>6</v>
      </c>
      <c r="I130">
        <v>1356.76</v>
      </c>
      <c r="J130">
        <v>8140.56</v>
      </c>
      <c r="K130">
        <v>27.75</v>
      </c>
      <c r="L130" s="7">
        <v>45498</v>
      </c>
      <c r="M130" t="str">
        <f>TEXT(customer_demographic_sales_data[[#This Row],[Purchase_Date]],"YYYY-MM")</f>
        <v>2024-07</v>
      </c>
    </row>
    <row r="131" spans="1:13" x14ac:dyDescent="0.25">
      <c r="A131" t="s">
        <v>466</v>
      </c>
      <c r="B131" t="s">
        <v>467</v>
      </c>
      <c r="C131" t="s">
        <v>51</v>
      </c>
      <c r="D131">
        <v>36</v>
      </c>
      <c r="E131" t="s">
        <v>468</v>
      </c>
      <c r="F131" t="s">
        <v>46</v>
      </c>
      <c r="G131" t="s">
        <v>188</v>
      </c>
      <c r="H131">
        <v>7</v>
      </c>
      <c r="I131">
        <v>1636.45</v>
      </c>
      <c r="J131">
        <v>11455.15</v>
      </c>
      <c r="K131">
        <v>3.52</v>
      </c>
      <c r="L131" s="7">
        <v>45479</v>
      </c>
      <c r="M131" t="str">
        <f>TEXT(customer_demographic_sales_data[[#This Row],[Purchase_Date]],"YYYY-MM")</f>
        <v>2024-07</v>
      </c>
    </row>
    <row r="132" spans="1:13" x14ac:dyDescent="0.25">
      <c r="A132" t="s">
        <v>469</v>
      </c>
      <c r="B132" t="s">
        <v>470</v>
      </c>
      <c r="C132" t="s">
        <v>38</v>
      </c>
      <c r="D132">
        <v>34</v>
      </c>
      <c r="E132" t="s">
        <v>471</v>
      </c>
      <c r="F132" t="s">
        <v>46</v>
      </c>
      <c r="G132" t="s">
        <v>53</v>
      </c>
      <c r="H132">
        <v>6</v>
      </c>
      <c r="I132">
        <v>276.05</v>
      </c>
      <c r="J132">
        <v>1656.3</v>
      </c>
      <c r="K132">
        <v>34.770000000000003</v>
      </c>
      <c r="L132" s="7">
        <v>46083</v>
      </c>
      <c r="M132" t="str">
        <f>TEXT(customer_demographic_sales_data[[#This Row],[Purchase_Date]],"YYYY-MM")</f>
        <v>2026-03</v>
      </c>
    </row>
    <row r="133" spans="1:13" x14ac:dyDescent="0.25">
      <c r="A133" t="s">
        <v>472</v>
      </c>
      <c r="B133" t="s">
        <v>473</v>
      </c>
      <c r="C133" t="s">
        <v>51</v>
      </c>
      <c r="D133">
        <v>47</v>
      </c>
      <c r="E133" t="s">
        <v>474</v>
      </c>
      <c r="F133" t="s">
        <v>58</v>
      </c>
      <c r="G133" t="s">
        <v>73</v>
      </c>
      <c r="H133">
        <v>7</v>
      </c>
      <c r="I133">
        <v>155.69999999999999</v>
      </c>
      <c r="J133">
        <v>1089.9000000000001</v>
      </c>
      <c r="K133">
        <v>30.26</v>
      </c>
      <c r="L133" s="7">
        <v>45900</v>
      </c>
      <c r="M133" t="str">
        <f>TEXT(customer_demographic_sales_data[[#This Row],[Purchase_Date]],"YYYY-MM")</f>
        <v>2025-08</v>
      </c>
    </row>
    <row r="134" spans="1:13" x14ac:dyDescent="0.25">
      <c r="A134" t="s">
        <v>475</v>
      </c>
      <c r="B134" t="s">
        <v>476</v>
      </c>
      <c r="C134" t="s">
        <v>62</v>
      </c>
      <c r="D134">
        <v>58</v>
      </c>
      <c r="E134" t="s">
        <v>272</v>
      </c>
      <c r="F134" t="s">
        <v>58</v>
      </c>
      <c r="G134" t="s">
        <v>73</v>
      </c>
      <c r="H134">
        <v>8</v>
      </c>
      <c r="I134">
        <v>1531.98</v>
      </c>
      <c r="J134">
        <v>12255.84</v>
      </c>
      <c r="K134">
        <v>5.24</v>
      </c>
      <c r="L134" s="7">
        <v>45497</v>
      </c>
      <c r="M134" t="str">
        <f>TEXT(customer_demographic_sales_data[[#This Row],[Purchase_Date]],"YYYY-MM")</f>
        <v>2024-07</v>
      </c>
    </row>
    <row r="135" spans="1:13" x14ac:dyDescent="0.25">
      <c r="A135" t="s">
        <v>477</v>
      </c>
      <c r="B135" t="s">
        <v>478</v>
      </c>
      <c r="C135" t="s">
        <v>38</v>
      </c>
      <c r="D135">
        <v>36</v>
      </c>
      <c r="E135" t="s">
        <v>479</v>
      </c>
      <c r="F135" t="s">
        <v>46</v>
      </c>
      <c r="G135" t="s">
        <v>47</v>
      </c>
      <c r="H135">
        <v>8</v>
      </c>
      <c r="I135">
        <v>1767.65</v>
      </c>
      <c r="J135">
        <v>14141.2</v>
      </c>
      <c r="K135">
        <v>38.93</v>
      </c>
      <c r="L135" s="7">
        <v>45443</v>
      </c>
      <c r="M135" t="str">
        <f>TEXT(customer_demographic_sales_data[[#This Row],[Purchase_Date]],"YYYY-MM")</f>
        <v>2024-05</v>
      </c>
    </row>
    <row r="136" spans="1:13" x14ac:dyDescent="0.25">
      <c r="A136" t="s">
        <v>480</v>
      </c>
      <c r="B136" t="s">
        <v>481</v>
      </c>
      <c r="C136" t="s">
        <v>38</v>
      </c>
      <c r="D136">
        <v>56</v>
      </c>
      <c r="E136" t="s">
        <v>482</v>
      </c>
      <c r="F136" t="s">
        <v>46</v>
      </c>
      <c r="G136" t="s">
        <v>73</v>
      </c>
      <c r="H136">
        <v>4</v>
      </c>
      <c r="I136">
        <v>1434.08</v>
      </c>
      <c r="J136">
        <v>5736.32</v>
      </c>
      <c r="K136">
        <v>16.32</v>
      </c>
      <c r="L136" s="7">
        <v>45833</v>
      </c>
      <c r="M136" t="str">
        <f>TEXT(customer_demographic_sales_data[[#This Row],[Purchase_Date]],"YYYY-MM")</f>
        <v>2025-06</v>
      </c>
    </row>
    <row r="137" spans="1:13" x14ac:dyDescent="0.25">
      <c r="A137" t="s">
        <v>483</v>
      </c>
      <c r="B137" t="s">
        <v>484</v>
      </c>
      <c r="C137" t="s">
        <v>62</v>
      </c>
      <c r="D137">
        <v>32</v>
      </c>
      <c r="E137" t="s">
        <v>485</v>
      </c>
      <c r="F137" t="s">
        <v>40</v>
      </c>
      <c r="G137" t="s">
        <v>188</v>
      </c>
      <c r="H137">
        <v>2</v>
      </c>
      <c r="I137">
        <v>949.82</v>
      </c>
      <c r="J137">
        <v>1899.64</v>
      </c>
      <c r="K137">
        <v>37.31</v>
      </c>
      <c r="L137" s="7">
        <v>45718</v>
      </c>
      <c r="M137" t="str">
        <f>TEXT(customer_demographic_sales_data[[#This Row],[Purchase_Date]],"YYYY-MM")</f>
        <v>2025-03</v>
      </c>
    </row>
    <row r="138" spans="1:13" x14ac:dyDescent="0.25">
      <c r="A138" t="s">
        <v>486</v>
      </c>
      <c r="B138" t="s">
        <v>487</v>
      </c>
      <c r="C138" t="s">
        <v>38</v>
      </c>
      <c r="D138">
        <v>36</v>
      </c>
      <c r="E138" t="s">
        <v>488</v>
      </c>
      <c r="F138" t="s">
        <v>102</v>
      </c>
      <c r="G138" t="s">
        <v>188</v>
      </c>
      <c r="H138">
        <v>9</v>
      </c>
      <c r="I138">
        <v>1425.55</v>
      </c>
      <c r="J138">
        <v>12829.95</v>
      </c>
      <c r="K138">
        <v>9.75</v>
      </c>
      <c r="L138" s="7">
        <v>45618</v>
      </c>
      <c r="M138" t="str">
        <f>TEXT(customer_demographic_sales_data[[#This Row],[Purchase_Date]],"YYYY-MM")</f>
        <v>2024-11</v>
      </c>
    </row>
    <row r="139" spans="1:13" x14ac:dyDescent="0.25">
      <c r="A139" t="s">
        <v>489</v>
      </c>
      <c r="B139" t="s">
        <v>490</v>
      </c>
      <c r="C139" t="s">
        <v>51</v>
      </c>
      <c r="D139">
        <v>53</v>
      </c>
      <c r="E139" t="s">
        <v>491</v>
      </c>
      <c r="F139" t="s">
        <v>40</v>
      </c>
      <c r="G139" t="s">
        <v>47</v>
      </c>
      <c r="H139">
        <v>3</v>
      </c>
      <c r="I139">
        <v>797.99</v>
      </c>
      <c r="J139">
        <v>2393.9699999999998</v>
      </c>
      <c r="K139">
        <v>11.05</v>
      </c>
      <c r="L139" s="7">
        <v>45543</v>
      </c>
      <c r="M139" t="str">
        <f>TEXT(customer_demographic_sales_data[[#This Row],[Purchase_Date]],"YYYY-MM")</f>
        <v>2024-09</v>
      </c>
    </row>
    <row r="140" spans="1:13" x14ac:dyDescent="0.25">
      <c r="A140" t="s">
        <v>492</v>
      </c>
      <c r="B140" t="s">
        <v>493</v>
      </c>
      <c r="C140" t="s">
        <v>51</v>
      </c>
      <c r="D140">
        <v>68</v>
      </c>
      <c r="E140" t="s">
        <v>494</v>
      </c>
      <c r="F140" t="s">
        <v>58</v>
      </c>
      <c r="G140" t="s">
        <v>47</v>
      </c>
      <c r="H140">
        <v>7</v>
      </c>
      <c r="I140">
        <v>712.76</v>
      </c>
      <c r="J140">
        <v>4989.32</v>
      </c>
      <c r="K140">
        <v>11.31</v>
      </c>
      <c r="L140" s="7">
        <v>45957</v>
      </c>
      <c r="M140" t="str">
        <f>TEXT(customer_demographic_sales_data[[#This Row],[Purchase_Date]],"YYYY-MM")</f>
        <v>2025-10</v>
      </c>
    </row>
    <row r="141" spans="1:13" x14ac:dyDescent="0.25">
      <c r="A141" t="s">
        <v>495</v>
      </c>
      <c r="B141" t="s">
        <v>496</v>
      </c>
      <c r="C141" t="s">
        <v>51</v>
      </c>
      <c r="D141">
        <v>37</v>
      </c>
      <c r="E141" t="s">
        <v>497</v>
      </c>
      <c r="F141" t="s">
        <v>102</v>
      </c>
      <c r="G141" t="s">
        <v>41</v>
      </c>
      <c r="H141">
        <v>10</v>
      </c>
      <c r="I141">
        <v>1180.8499999999999</v>
      </c>
      <c r="J141">
        <v>11808.5</v>
      </c>
      <c r="K141">
        <v>17.86</v>
      </c>
      <c r="L141" s="7">
        <v>45605</v>
      </c>
      <c r="M141" t="str">
        <f>TEXT(customer_demographic_sales_data[[#This Row],[Purchase_Date]],"YYYY-MM")</f>
        <v>2024-11</v>
      </c>
    </row>
    <row r="142" spans="1:13" x14ac:dyDescent="0.25">
      <c r="A142" t="s">
        <v>498</v>
      </c>
      <c r="B142" t="s">
        <v>499</v>
      </c>
      <c r="C142" t="s">
        <v>51</v>
      </c>
      <c r="D142">
        <v>48</v>
      </c>
      <c r="E142" t="s">
        <v>500</v>
      </c>
      <c r="F142" t="s">
        <v>102</v>
      </c>
      <c r="G142" t="s">
        <v>188</v>
      </c>
      <c r="H142">
        <v>6</v>
      </c>
      <c r="I142">
        <v>698.26</v>
      </c>
      <c r="J142">
        <v>4189.5600000000004</v>
      </c>
      <c r="K142">
        <v>37.31</v>
      </c>
      <c r="L142" s="7">
        <v>45634</v>
      </c>
      <c r="M142" t="str">
        <f>TEXT(customer_demographic_sales_data[[#This Row],[Purchase_Date]],"YYYY-MM")</f>
        <v>2024-12</v>
      </c>
    </row>
    <row r="143" spans="1:13" x14ac:dyDescent="0.25">
      <c r="A143" t="s">
        <v>501</v>
      </c>
      <c r="B143" t="s">
        <v>502</v>
      </c>
      <c r="C143" t="s">
        <v>62</v>
      </c>
      <c r="D143">
        <v>30</v>
      </c>
      <c r="E143" t="s">
        <v>503</v>
      </c>
      <c r="F143" t="s">
        <v>102</v>
      </c>
      <c r="G143" t="s">
        <v>47</v>
      </c>
      <c r="H143">
        <v>4</v>
      </c>
      <c r="I143">
        <v>1165.01</v>
      </c>
      <c r="J143">
        <v>4660.04</v>
      </c>
      <c r="K143">
        <v>12.73</v>
      </c>
      <c r="L143" s="7">
        <v>46023</v>
      </c>
      <c r="M143" t="str">
        <f>TEXT(customer_demographic_sales_data[[#This Row],[Purchase_Date]],"YYYY-MM")</f>
        <v>2026-01</v>
      </c>
    </row>
    <row r="144" spans="1:13" x14ac:dyDescent="0.25">
      <c r="A144" t="s">
        <v>504</v>
      </c>
      <c r="B144" t="s">
        <v>505</v>
      </c>
      <c r="C144" t="s">
        <v>51</v>
      </c>
      <c r="D144">
        <v>48</v>
      </c>
      <c r="E144" t="s">
        <v>506</v>
      </c>
      <c r="F144" t="s">
        <v>40</v>
      </c>
      <c r="G144" t="s">
        <v>188</v>
      </c>
      <c r="H144">
        <v>7</v>
      </c>
      <c r="I144">
        <v>802.85</v>
      </c>
      <c r="J144">
        <v>5619.95</v>
      </c>
      <c r="K144">
        <v>38.590000000000003</v>
      </c>
      <c r="L144" s="7">
        <v>46007</v>
      </c>
      <c r="M144" t="str">
        <f>TEXT(customer_demographic_sales_data[[#This Row],[Purchase_Date]],"YYYY-MM")</f>
        <v>2025-12</v>
      </c>
    </row>
    <row r="145" spans="1:13" x14ac:dyDescent="0.25">
      <c r="A145" t="s">
        <v>507</v>
      </c>
      <c r="B145" t="s">
        <v>508</v>
      </c>
      <c r="C145" t="s">
        <v>38</v>
      </c>
      <c r="D145">
        <v>26</v>
      </c>
      <c r="E145" t="s">
        <v>509</v>
      </c>
      <c r="F145" t="s">
        <v>46</v>
      </c>
      <c r="G145" t="s">
        <v>188</v>
      </c>
      <c r="H145">
        <v>9</v>
      </c>
      <c r="I145">
        <v>1932.44</v>
      </c>
      <c r="J145">
        <v>17391.96</v>
      </c>
      <c r="K145">
        <v>3.99</v>
      </c>
      <c r="L145" s="7">
        <v>46033</v>
      </c>
      <c r="M145" t="str">
        <f>TEXT(customer_demographic_sales_data[[#This Row],[Purchase_Date]],"YYYY-MM")</f>
        <v>2026-01</v>
      </c>
    </row>
    <row r="146" spans="1:13" x14ac:dyDescent="0.25">
      <c r="A146" t="s">
        <v>510</v>
      </c>
      <c r="B146" t="s">
        <v>511</v>
      </c>
      <c r="C146" t="s">
        <v>38</v>
      </c>
      <c r="D146">
        <v>47</v>
      </c>
      <c r="E146" t="s">
        <v>512</v>
      </c>
      <c r="F146" t="s">
        <v>40</v>
      </c>
      <c r="G146" t="s">
        <v>47</v>
      </c>
      <c r="H146">
        <v>1</v>
      </c>
      <c r="I146">
        <v>1458.77</v>
      </c>
      <c r="J146">
        <v>1458.77</v>
      </c>
      <c r="K146">
        <v>18.78</v>
      </c>
      <c r="L146" s="7">
        <v>45557</v>
      </c>
      <c r="M146" t="str">
        <f>TEXT(customer_demographic_sales_data[[#This Row],[Purchase_Date]],"YYYY-MM")</f>
        <v>2024-09</v>
      </c>
    </row>
    <row r="147" spans="1:13" x14ac:dyDescent="0.25">
      <c r="A147" t="s">
        <v>513</v>
      </c>
      <c r="B147" t="s">
        <v>514</v>
      </c>
      <c r="C147" t="s">
        <v>38</v>
      </c>
      <c r="D147">
        <v>34</v>
      </c>
      <c r="E147" t="s">
        <v>515</v>
      </c>
      <c r="F147" t="s">
        <v>46</v>
      </c>
      <c r="G147" t="s">
        <v>64</v>
      </c>
      <c r="H147">
        <v>6</v>
      </c>
      <c r="I147">
        <v>1265.3599999999999</v>
      </c>
      <c r="J147">
        <v>7592.16</v>
      </c>
      <c r="K147">
        <v>34.090000000000003</v>
      </c>
      <c r="L147" s="7">
        <v>46066</v>
      </c>
      <c r="M147" t="str">
        <f>TEXT(customer_demographic_sales_data[[#This Row],[Purchase_Date]],"YYYY-MM")</f>
        <v>2026-02</v>
      </c>
    </row>
    <row r="148" spans="1:13" x14ac:dyDescent="0.25">
      <c r="A148" t="s">
        <v>516</v>
      </c>
      <c r="B148" t="s">
        <v>517</v>
      </c>
      <c r="C148" t="s">
        <v>51</v>
      </c>
      <c r="D148">
        <v>52</v>
      </c>
      <c r="E148" t="s">
        <v>518</v>
      </c>
      <c r="F148" t="s">
        <v>102</v>
      </c>
      <c r="G148" t="s">
        <v>73</v>
      </c>
      <c r="H148">
        <v>7</v>
      </c>
      <c r="I148">
        <v>1910.57</v>
      </c>
      <c r="J148">
        <v>13373.99</v>
      </c>
      <c r="K148">
        <v>1.44</v>
      </c>
      <c r="L148" s="7">
        <v>46045</v>
      </c>
      <c r="M148" t="str">
        <f>TEXT(customer_demographic_sales_data[[#This Row],[Purchase_Date]],"YYYY-MM")</f>
        <v>2026-01</v>
      </c>
    </row>
    <row r="149" spans="1:13" x14ac:dyDescent="0.25">
      <c r="A149" t="s">
        <v>519</v>
      </c>
      <c r="B149" t="s">
        <v>520</v>
      </c>
      <c r="C149" t="s">
        <v>38</v>
      </c>
      <c r="D149">
        <v>22</v>
      </c>
      <c r="E149" t="s">
        <v>521</v>
      </c>
      <c r="F149" t="s">
        <v>40</v>
      </c>
      <c r="G149" t="s">
        <v>53</v>
      </c>
      <c r="H149">
        <v>4</v>
      </c>
      <c r="I149">
        <v>1280.76</v>
      </c>
      <c r="J149">
        <v>5123.04</v>
      </c>
      <c r="K149">
        <v>3.62</v>
      </c>
      <c r="L149" s="7">
        <v>45944</v>
      </c>
      <c r="M149" t="str">
        <f>TEXT(customer_demographic_sales_data[[#This Row],[Purchase_Date]],"YYYY-MM")</f>
        <v>2025-10</v>
      </c>
    </row>
    <row r="150" spans="1:13" x14ac:dyDescent="0.25">
      <c r="A150" t="s">
        <v>522</v>
      </c>
      <c r="B150" t="s">
        <v>523</v>
      </c>
      <c r="C150" t="s">
        <v>51</v>
      </c>
      <c r="D150">
        <v>24</v>
      </c>
      <c r="E150" t="s">
        <v>524</v>
      </c>
      <c r="F150" t="s">
        <v>58</v>
      </c>
      <c r="G150" t="s">
        <v>47</v>
      </c>
      <c r="H150">
        <v>2</v>
      </c>
      <c r="I150">
        <v>915.17</v>
      </c>
      <c r="J150">
        <v>1830.34</v>
      </c>
      <c r="K150">
        <v>1.84</v>
      </c>
      <c r="L150" s="7">
        <v>45431</v>
      </c>
      <c r="M150" t="str">
        <f>TEXT(customer_demographic_sales_data[[#This Row],[Purchase_Date]],"YYYY-MM")</f>
        <v>2024-05</v>
      </c>
    </row>
    <row r="151" spans="1:13" x14ac:dyDescent="0.25">
      <c r="A151" t="s">
        <v>525</v>
      </c>
      <c r="B151" t="s">
        <v>526</v>
      </c>
      <c r="C151" t="s">
        <v>38</v>
      </c>
      <c r="D151">
        <v>68</v>
      </c>
      <c r="E151" t="s">
        <v>527</v>
      </c>
      <c r="F151" t="s">
        <v>102</v>
      </c>
      <c r="G151" t="s">
        <v>41</v>
      </c>
      <c r="H151">
        <v>1</v>
      </c>
      <c r="I151">
        <v>622.07000000000005</v>
      </c>
      <c r="J151">
        <v>622.07000000000005</v>
      </c>
      <c r="K151">
        <v>9.77</v>
      </c>
      <c r="L151" s="7">
        <v>45505</v>
      </c>
      <c r="M151" t="str">
        <f>TEXT(customer_demographic_sales_data[[#This Row],[Purchase_Date]],"YYYY-MM")</f>
        <v>2024-08</v>
      </c>
    </row>
    <row r="152" spans="1:13" x14ac:dyDescent="0.25">
      <c r="A152" t="s">
        <v>528</v>
      </c>
      <c r="B152" t="s">
        <v>529</v>
      </c>
      <c r="C152" t="s">
        <v>62</v>
      </c>
      <c r="D152">
        <v>44</v>
      </c>
      <c r="E152" t="s">
        <v>530</v>
      </c>
      <c r="F152" t="s">
        <v>40</v>
      </c>
      <c r="G152" t="s">
        <v>41</v>
      </c>
      <c r="H152">
        <v>10</v>
      </c>
      <c r="I152">
        <v>1379.51</v>
      </c>
      <c r="J152">
        <v>13795.1</v>
      </c>
      <c r="K152">
        <v>3.16</v>
      </c>
      <c r="L152" s="7">
        <v>45924</v>
      </c>
      <c r="M152" t="str">
        <f>TEXT(customer_demographic_sales_data[[#This Row],[Purchase_Date]],"YYYY-MM")</f>
        <v>2025-09</v>
      </c>
    </row>
    <row r="153" spans="1:13" x14ac:dyDescent="0.25">
      <c r="A153" t="s">
        <v>531</v>
      </c>
      <c r="B153" t="s">
        <v>532</v>
      </c>
      <c r="C153" t="s">
        <v>38</v>
      </c>
      <c r="D153">
        <v>42</v>
      </c>
      <c r="E153" t="s">
        <v>533</v>
      </c>
      <c r="F153" t="s">
        <v>40</v>
      </c>
      <c r="G153" t="s">
        <v>41</v>
      </c>
      <c r="H153">
        <v>10</v>
      </c>
      <c r="I153">
        <v>1382.11</v>
      </c>
      <c r="J153">
        <v>13821.1</v>
      </c>
      <c r="K153">
        <v>18.45</v>
      </c>
      <c r="L153" s="7">
        <v>45529</v>
      </c>
      <c r="M153" t="str">
        <f>TEXT(customer_demographic_sales_data[[#This Row],[Purchase_Date]],"YYYY-MM")</f>
        <v>2024-08</v>
      </c>
    </row>
    <row r="154" spans="1:13" x14ac:dyDescent="0.25">
      <c r="A154" t="s">
        <v>534</v>
      </c>
      <c r="B154" t="s">
        <v>535</v>
      </c>
      <c r="C154" t="s">
        <v>62</v>
      </c>
      <c r="D154">
        <v>34</v>
      </c>
      <c r="E154" t="s">
        <v>536</v>
      </c>
      <c r="F154" t="s">
        <v>102</v>
      </c>
      <c r="G154" t="s">
        <v>64</v>
      </c>
      <c r="H154">
        <v>8</v>
      </c>
      <c r="I154">
        <v>547.89</v>
      </c>
      <c r="J154">
        <v>4383.12</v>
      </c>
      <c r="K154">
        <v>27.1</v>
      </c>
      <c r="L154" s="7">
        <v>45526</v>
      </c>
      <c r="M154" t="str">
        <f>TEXT(customer_demographic_sales_data[[#This Row],[Purchase_Date]],"YYYY-MM")</f>
        <v>2024-08</v>
      </c>
    </row>
    <row r="155" spans="1:13" x14ac:dyDescent="0.25">
      <c r="A155" t="s">
        <v>537</v>
      </c>
      <c r="B155" t="s">
        <v>538</v>
      </c>
      <c r="C155" t="s">
        <v>38</v>
      </c>
      <c r="D155">
        <v>28</v>
      </c>
      <c r="E155" t="s">
        <v>539</v>
      </c>
      <c r="F155" t="s">
        <v>58</v>
      </c>
      <c r="G155" t="s">
        <v>53</v>
      </c>
      <c r="H155">
        <v>2</v>
      </c>
      <c r="I155">
        <v>911.37</v>
      </c>
      <c r="J155">
        <v>1822.74</v>
      </c>
      <c r="K155">
        <v>38.479999999999997</v>
      </c>
      <c r="L155" s="7">
        <v>46108</v>
      </c>
      <c r="M155" t="str">
        <f>TEXT(customer_demographic_sales_data[[#This Row],[Purchase_Date]],"YYYY-MM")</f>
        <v>2026-03</v>
      </c>
    </row>
    <row r="156" spans="1:13" x14ac:dyDescent="0.25">
      <c r="A156" t="s">
        <v>540</v>
      </c>
      <c r="B156" t="s">
        <v>541</v>
      </c>
      <c r="C156" t="s">
        <v>38</v>
      </c>
      <c r="D156">
        <v>62</v>
      </c>
      <c r="E156" t="s">
        <v>542</v>
      </c>
      <c r="F156" t="s">
        <v>40</v>
      </c>
      <c r="G156" t="s">
        <v>188</v>
      </c>
      <c r="H156">
        <v>5</v>
      </c>
      <c r="I156">
        <v>940.83</v>
      </c>
      <c r="J156">
        <v>4704.1499999999996</v>
      </c>
      <c r="K156">
        <v>34.130000000000003</v>
      </c>
      <c r="L156" s="7">
        <v>45446</v>
      </c>
      <c r="M156" t="str">
        <f>TEXT(customer_demographic_sales_data[[#This Row],[Purchase_Date]],"YYYY-MM")</f>
        <v>2024-06</v>
      </c>
    </row>
    <row r="157" spans="1:13" x14ac:dyDescent="0.25">
      <c r="A157" t="s">
        <v>543</v>
      </c>
      <c r="B157" t="s">
        <v>544</v>
      </c>
      <c r="C157" t="s">
        <v>38</v>
      </c>
      <c r="D157">
        <v>24</v>
      </c>
      <c r="E157" t="s">
        <v>545</v>
      </c>
      <c r="F157" t="s">
        <v>58</v>
      </c>
      <c r="G157" t="s">
        <v>53</v>
      </c>
      <c r="H157">
        <v>4</v>
      </c>
      <c r="I157">
        <v>793.66</v>
      </c>
      <c r="J157">
        <v>3174.64</v>
      </c>
      <c r="K157">
        <v>11.81</v>
      </c>
      <c r="L157" s="7">
        <v>45953</v>
      </c>
      <c r="M157" t="str">
        <f>TEXT(customer_demographic_sales_data[[#This Row],[Purchase_Date]],"YYYY-MM")</f>
        <v>2025-10</v>
      </c>
    </row>
    <row r="158" spans="1:13" x14ac:dyDescent="0.25">
      <c r="A158" t="s">
        <v>546</v>
      </c>
      <c r="B158" t="s">
        <v>547</v>
      </c>
      <c r="C158" t="s">
        <v>51</v>
      </c>
      <c r="D158">
        <v>60</v>
      </c>
      <c r="E158" t="s">
        <v>548</v>
      </c>
      <c r="F158" t="s">
        <v>46</v>
      </c>
      <c r="G158" t="s">
        <v>73</v>
      </c>
      <c r="H158">
        <v>7</v>
      </c>
      <c r="I158">
        <v>585.24</v>
      </c>
      <c r="J158">
        <v>4096.68</v>
      </c>
      <c r="K158">
        <v>29.81</v>
      </c>
      <c r="L158" s="7">
        <v>46079</v>
      </c>
      <c r="M158" t="str">
        <f>TEXT(customer_demographic_sales_data[[#This Row],[Purchase_Date]],"YYYY-MM")</f>
        <v>2026-02</v>
      </c>
    </row>
    <row r="159" spans="1:13" x14ac:dyDescent="0.25">
      <c r="A159" t="s">
        <v>549</v>
      </c>
      <c r="B159" t="s">
        <v>550</v>
      </c>
      <c r="C159" t="s">
        <v>38</v>
      </c>
      <c r="D159">
        <v>36</v>
      </c>
      <c r="E159" t="s">
        <v>551</v>
      </c>
      <c r="F159" t="s">
        <v>40</v>
      </c>
      <c r="G159" t="s">
        <v>53</v>
      </c>
      <c r="H159">
        <v>4</v>
      </c>
      <c r="I159">
        <v>1233.78</v>
      </c>
      <c r="J159">
        <v>4935.12</v>
      </c>
      <c r="K159">
        <v>7.61</v>
      </c>
      <c r="L159" s="7">
        <v>45518</v>
      </c>
      <c r="M159" t="str">
        <f>TEXT(customer_demographic_sales_data[[#This Row],[Purchase_Date]],"YYYY-MM")</f>
        <v>2024-08</v>
      </c>
    </row>
    <row r="160" spans="1:13" x14ac:dyDescent="0.25">
      <c r="A160" t="s">
        <v>552</v>
      </c>
      <c r="B160" t="s">
        <v>553</v>
      </c>
      <c r="C160" t="s">
        <v>51</v>
      </c>
      <c r="D160">
        <v>34</v>
      </c>
      <c r="E160" t="s">
        <v>554</v>
      </c>
      <c r="F160" t="s">
        <v>46</v>
      </c>
      <c r="G160" t="s">
        <v>64</v>
      </c>
      <c r="H160">
        <v>3</v>
      </c>
      <c r="I160">
        <v>1275.08</v>
      </c>
      <c r="J160">
        <v>3825.24</v>
      </c>
      <c r="K160">
        <v>31.54</v>
      </c>
      <c r="L160" s="7">
        <v>46096</v>
      </c>
      <c r="M160" t="str">
        <f>TEXT(customer_demographic_sales_data[[#This Row],[Purchase_Date]],"YYYY-MM")</f>
        <v>2026-03</v>
      </c>
    </row>
    <row r="161" spans="1:13" x14ac:dyDescent="0.25">
      <c r="A161" t="s">
        <v>555</v>
      </c>
      <c r="B161" t="s">
        <v>556</v>
      </c>
      <c r="C161" t="s">
        <v>62</v>
      </c>
      <c r="D161">
        <v>20</v>
      </c>
      <c r="E161" t="s">
        <v>557</v>
      </c>
      <c r="F161" t="s">
        <v>46</v>
      </c>
      <c r="G161" t="s">
        <v>64</v>
      </c>
      <c r="H161">
        <v>10</v>
      </c>
      <c r="I161">
        <v>761.48</v>
      </c>
      <c r="J161">
        <v>7614.8</v>
      </c>
      <c r="K161">
        <v>13.07</v>
      </c>
      <c r="L161" s="7">
        <v>45521</v>
      </c>
      <c r="M161" t="str">
        <f>TEXT(customer_demographic_sales_data[[#This Row],[Purchase_Date]],"YYYY-MM")</f>
        <v>2024-08</v>
      </c>
    </row>
    <row r="162" spans="1:13" x14ac:dyDescent="0.25">
      <c r="A162" t="s">
        <v>558</v>
      </c>
      <c r="B162" t="s">
        <v>559</v>
      </c>
      <c r="C162" t="s">
        <v>51</v>
      </c>
      <c r="D162">
        <v>44</v>
      </c>
      <c r="E162" t="s">
        <v>560</v>
      </c>
      <c r="F162" t="s">
        <v>58</v>
      </c>
      <c r="G162" t="s">
        <v>73</v>
      </c>
      <c r="H162">
        <v>3</v>
      </c>
      <c r="I162">
        <v>441.55</v>
      </c>
      <c r="J162">
        <v>1324.65</v>
      </c>
      <c r="K162">
        <v>20.07</v>
      </c>
      <c r="L162" s="7">
        <v>45878</v>
      </c>
      <c r="M162" t="str">
        <f>TEXT(customer_demographic_sales_data[[#This Row],[Purchase_Date]],"YYYY-MM")</f>
        <v>2025-08</v>
      </c>
    </row>
    <row r="163" spans="1:13" x14ac:dyDescent="0.25">
      <c r="A163" t="s">
        <v>561</v>
      </c>
      <c r="B163" t="s">
        <v>562</v>
      </c>
      <c r="C163" t="s">
        <v>38</v>
      </c>
      <c r="D163">
        <v>35</v>
      </c>
      <c r="E163" t="s">
        <v>563</v>
      </c>
      <c r="F163" t="s">
        <v>58</v>
      </c>
      <c r="G163" t="s">
        <v>53</v>
      </c>
      <c r="H163">
        <v>3</v>
      </c>
      <c r="I163">
        <v>551.09</v>
      </c>
      <c r="J163">
        <v>1653.27</v>
      </c>
      <c r="K163">
        <v>34.82</v>
      </c>
      <c r="L163" s="7">
        <v>45790</v>
      </c>
      <c r="M163" t="str">
        <f>TEXT(customer_demographic_sales_data[[#This Row],[Purchase_Date]],"YYYY-MM")</f>
        <v>2025-05</v>
      </c>
    </row>
    <row r="164" spans="1:13" x14ac:dyDescent="0.25">
      <c r="A164" t="s">
        <v>564</v>
      </c>
      <c r="B164" t="s">
        <v>565</v>
      </c>
      <c r="C164" t="s">
        <v>62</v>
      </c>
      <c r="D164">
        <v>69</v>
      </c>
      <c r="E164" t="s">
        <v>566</v>
      </c>
      <c r="F164" t="s">
        <v>40</v>
      </c>
      <c r="G164" t="s">
        <v>41</v>
      </c>
      <c r="H164">
        <v>2</v>
      </c>
      <c r="I164">
        <v>963.25</v>
      </c>
      <c r="J164">
        <v>1926.5</v>
      </c>
      <c r="K164">
        <v>34.409999999999997</v>
      </c>
      <c r="L164" s="7">
        <v>45985</v>
      </c>
      <c r="M164" t="str">
        <f>TEXT(customer_demographic_sales_data[[#This Row],[Purchase_Date]],"YYYY-MM")</f>
        <v>2025-11</v>
      </c>
    </row>
    <row r="165" spans="1:13" x14ac:dyDescent="0.25">
      <c r="A165" t="s">
        <v>567</v>
      </c>
      <c r="B165" t="s">
        <v>568</v>
      </c>
      <c r="C165" t="s">
        <v>51</v>
      </c>
      <c r="D165">
        <v>64</v>
      </c>
      <c r="E165" t="s">
        <v>569</v>
      </c>
      <c r="F165" t="s">
        <v>58</v>
      </c>
      <c r="G165" t="s">
        <v>47</v>
      </c>
      <c r="H165">
        <v>7</v>
      </c>
      <c r="I165">
        <v>1936.18</v>
      </c>
      <c r="J165">
        <v>13553.26</v>
      </c>
      <c r="K165">
        <v>31.63</v>
      </c>
      <c r="L165" s="7">
        <v>45468</v>
      </c>
      <c r="M165" t="str">
        <f>TEXT(customer_demographic_sales_data[[#This Row],[Purchase_Date]],"YYYY-MM")</f>
        <v>2024-06</v>
      </c>
    </row>
    <row r="166" spans="1:13" x14ac:dyDescent="0.25">
      <c r="A166" t="s">
        <v>570</v>
      </c>
      <c r="B166" t="s">
        <v>571</v>
      </c>
      <c r="C166" t="s">
        <v>38</v>
      </c>
      <c r="D166">
        <v>18</v>
      </c>
      <c r="E166" t="s">
        <v>572</v>
      </c>
      <c r="F166" t="s">
        <v>58</v>
      </c>
      <c r="G166" t="s">
        <v>53</v>
      </c>
      <c r="H166">
        <v>5</v>
      </c>
      <c r="I166">
        <v>1096.32</v>
      </c>
      <c r="J166">
        <v>5481.6</v>
      </c>
      <c r="K166">
        <v>29.96</v>
      </c>
      <c r="L166" s="7">
        <v>45671</v>
      </c>
      <c r="M166" t="str">
        <f>TEXT(customer_demographic_sales_data[[#This Row],[Purchase_Date]],"YYYY-MM")</f>
        <v>2025-01</v>
      </c>
    </row>
    <row r="167" spans="1:13" x14ac:dyDescent="0.25">
      <c r="A167" t="s">
        <v>573</v>
      </c>
      <c r="B167" t="s">
        <v>574</v>
      </c>
      <c r="C167" t="s">
        <v>51</v>
      </c>
      <c r="D167">
        <v>34</v>
      </c>
      <c r="E167" t="s">
        <v>575</v>
      </c>
      <c r="F167" t="s">
        <v>58</v>
      </c>
      <c r="G167" t="s">
        <v>47</v>
      </c>
      <c r="H167">
        <v>10</v>
      </c>
      <c r="I167">
        <v>793</v>
      </c>
      <c r="J167">
        <v>7930</v>
      </c>
      <c r="K167">
        <v>26.99</v>
      </c>
      <c r="L167" s="7">
        <v>45650</v>
      </c>
      <c r="M167" t="str">
        <f>TEXT(customer_demographic_sales_data[[#This Row],[Purchase_Date]],"YYYY-MM")</f>
        <v>2024-12</v>
      </c>
    </row>
    <row r="168" spans="1:13" x14ac:dyDescent="0.25">
      <c r="A168" t="s">
        <v>576</v>
      </c>
      <c r="B168" t="s">
        <v>577</v>
      </c>
      <c r="C168" t="s">
        <v>51</v>
      </c>
      <c r="D168">
        <v>48</v>
      </c>
      <c r="E168" t="s">
        <v>578</v>
      </c>
      <c r="F168" t="s">
        <v>58</v>
      </c>
      <c r="G168" t="s">
        <v>73</v>
      </c>
      <c r="H168">
        <v>1</v>
      </c>
      <c r="I168">
        <v>1258.1199999999999</v>
      </c>
      <c r="J168">
        <v>1258.1199999999999</v>
      </c>
      <c r="K168">
        <v>8.85</v>
      </c>
      <c r="L168" s="7">
        <v>45980</v>
      </c>
      <c r="M168" t="str">
        <f>TEXT(customer_demographic_sales_data[[#This Row],[Purchase_Date]],"YYYY-MM")</f>
        <v>2025-11</v>
      </c>
    </row>
    <row r="169" spans="1:13" x14ac:dyDescent="0.25">
      <c r="A169" t="s">
        <v>579</v>
      </c>
      <c r="B169" t="s">
        <v>580</v>
      </c>
      <c r="C169" t="s">
        <v>38</v>
      </c>
      <c r="D169">
        <v>22</v>
      </c>
      <c r="E169" t="s">
        <v>581</v>
      </c>
      <c r="F169" t="s">
        <v>102</v>
      </c>
      <c r="G169" t="s">
        <v>47</v>
      </c>
      <c r="H169">
        <v>8</v>
      </c>
      <c r="I169">
        <v>1823.31</v>
      </c>
      <c r="J169">
        <v>14586.48</v>
      </c>
      <c r="K169">
        <v>5.59</v>
      </c>
      <c r="L169" s="7">
        <v>45730</v>
      </c>
      <c r="M169" t="str">
        <f>TEXT(customer_demographic_sales_data[[#This Row],[Purchase_Date]],"YYYY-MM")</f>
        <v>2025-03</v>
      </c>
    </row>
    <row r="170" spans="1:13" x14ac:dyDescent="0.25">
      <c r="A170" t="s">
        <v>582</v>
      </c>
      <c r="B170" t="s">
        <v>583</v>
      </c>
      <c r="C170" t="s">
        <v>62</v>
      </c>
      <c r="D170">
        <v>20</v>
      </c>
      <c r="E170" t="s">
        <v>584</v>
      </c>
      <c r="F170" t="s">
        <v>46</v>
      </c>
      <c r="G170" t="s">
        <v>41</v>
      </c>
      <c r="H170">
        <v>5</v>
      </c>
      <c r="I170">
        <v>1992.06</v>
      </c>
      <c r="J170">
        <v>9960.2999999999993</v>
      </c>
      <c r="K170">
        <v>35.49</v>
      </c>
      <c r="L170" s="7">
        <v>45954</v>
      </c>
      <c r="M170" t="str">
        <f>TEXT(customer_demographic_sales_data[[#This Row],[Purchase_Date]],"YYYY-MM")</f>
        <v>2025-10</v>
      </c>
    </row>
    <row r="171" spans="1:13" x14ac:dyDescent="0.25">
      <c r="A171" t="s">
        <v>585</v>
      </c>
      <c r="B171" t="s">
        <v>586</v>
      </c>
      <c r="C171" t="s">
        <v>51</v>
      </c>
      <c r="D171">
        <v>26</v>
      </c>
      <c r="E171" t="s">
        <v>587</v>
      </c>
      <c r="F171" t="s">
        <v>102</v>
      </c>
      <c r="G171" t="s">
        <v>73</v>
      </c>
      <c r="H171">
        <v>7</v>
      </c>
      <c r="I171">
        <v>934.61</v>
      </c>
      <c r="J171">
        <v>6542.27</v>
      </c>
      <c r="K171">
        <v>29.69</v>
      </c>
      <c r="L171" s="7">
        <v>46051</v>
      </c>
      <c r="M171" t="str">
        <f>TEXT(customer_demographic_sales_data[[#This Row],[Purchase_Date]],"YYYY-MM")</f>
        <v>2026-01</v>
      </c>
    </row>
    <row r="172" spans="1:13" x14ac:dyDescent="0.25">
      <c r="A172" t="s">
        <v>588</v>
      </c>
      <c r="B172" t="s">
        <v>589</v>
      </c>
      <c r="C172" t="s">
        <v>38</v>
      </c>
      <c r="D172">
        <v>27</v>
      </c>
      <c r="E172" t="s">
        <v>590</v>
      </c>
      <c r="F172" t="s">
        <v>102</v>
      </c>
      <c r="G172" t="s">
        <v>64</v>
      </c>
      <c r="H172">
        <v>7</v>
      </c>
      <c r="I172">
        <v>1327.1</v>
      </c>
      <c r="J172">
        <v>9289.7000000000007</v>
      </c>
      <c r="K172">
        <v>1.31</v>
      </c>
      <c r="L172" s="7">
        <v>45695</v>
      </c>
      <c r="M172" t="str">
        <f>TEXT(customer_demographic_sales_data[[#This Row],[Purchase_Date]],"YYYY-MM")</f>
        <v>2025-02</v>
      </c>
    </row>
    <row r="173" spans="1:13" x14ac:dyDescent="0.25">
      <c r="A173" t="s">
        <v>591</v>
      </c>
      <c r="B173" t="s">
        <v>592</v>
      </c>
      <c r="C173" t="s">
        <v>62</v>
      </c>
      <c r="D173">
        <v>41</v>
      </c>
      <c r="E173" t="s">
        <v>593</v>
      </c>
      <c r="F173" t="s">
        <v>58</v>
      </c>
      <c r="G173" t="s">
        <v>47</v>
      </c>
      <c r="H173">
        <v>4</v>
      </c>
      <c r="I173">
        <v>914.6</v>
      </c>
      <c r="J173">
        <v>3658.4</v>
      </c>
      <c r="K173">
        <v>39.24</v>
      </c>
      <c r="L173" s="7">
        <v>45501</v>
      </c>
      <c r="M173" t="str">
        <f>TEXT(customer_demographic_sales_data[[#This Row],[Purchase_Date]],"YYYY-MM")</f>
        <v>2024-07</v>
      </c>
    </row>
    <row r="174" spans="1:13" x14ac:dyDescent="0.25">
      <c r="A174" t="s">
        <v>594</v>
      </c>
      <c r="B174" t="s">
        <v>595</v>
      </c>
      <c r="C174" t="s">
        <v>51</v>
      </c>
      <c r="D174">
        <v>41</v>
      </c>
      <c r="E174" t="s">
        <v>596</v>
      </c>
      <c r="F174" t="s">
        <v>58</v>
      </c>
      <c r="G174" t="s">
        <v>47</v>
      </c>
      <c r="H174">
        <v>9</v>
      </c>
      <c r="I174">
        <v>1808.31</v>
      </c>
      <c r="J174">
        <v>16274.79</v>
      </c>
      <c r="K174">
        <v>15.93</v>
      </c>
      <c r="L174" s="7">
        <v>46077</v>
      </c>
      <c r="M174" t="str">
        <f>TEXT(customer_demographic_sales_data[[#This Row],[Purchase_Date]],"YYYY-MM")</f>
        <v>2026-02</v>
      </c>
    </row>
    <row r="175" spans="1:13" x14ac:dyDescent="0.25">
      <c r="A175" t="s">
        <v>597</v>
      </c>
      <c r="B175" t="s">
        <v>598</v>
      </c>
      <c r="C175" t="s">
        <v>38</v>
      </c>
      <c r="D175">
        <v>30</v>
      </c>
      <c r="E175" t="s">
        <v>599</v>
      </c>
      <c r="F175" t="s">
        <v>46</v>
      </c>
      <c r="G175" t="s">
        <v>53</v>
      </c>
      <c r="H175">
        <v>2</v>
      </c>
      <c r="I175">
        <v>1900.57</v>
      </c>
      <c r="J175">
        <v>3801.14</v>
      </c>
      <c r="K175">
        <v>8.48</v>
      </c>
      <c r="L175" s="7">
        <v>45856</v>
      </c>
      <c r="M175" t="str">
        <f>TEXT(customer_demographic_sales_data[[#This Row],[Purchase_Date]],"YYYY-MM")</f>
        <v>2025-07</v>
      </c>
    </row>
    <row r="176" spans="1:13" x14ac:dyDescent="0.25">
      <c r="A176" t="s">
        <v>600</v>
      </c>
      <c r="B176" t="s">
        <v>601</v>
      </c>
      <c r="C176" t="s">
        <v>62</v>
      </c>
      <c r="D176">
        <v>58</v>
      </c>
      <c r="E176" t="s">
        <v>602</v>
      </c>
      <c r="F176" t="s">
        <v>58</v>
      </c>
      <c r="G176" t="s">
        <v>41</v>
      </c>
      <c r="H176">
        <v>10</v>
      </c>
      <c r="I176">
        <v>1943.63</v>
      </c>
      <c r="J176">
        <v>19436.3</v>
      </c>
      <c r="K176">
        <v>39.549999999999997</v>
      </c>
      <c r="L176" s="7">
        <v>45443</v>
      </c>
      <c r="M176" t="str">
        <f>TEXT(customer_demographic_sales_data[[#This Row],[Purchase_Date]],"YYYY-MM")</f>
        <v>2024-05</v>
      </c>
    </row>
    <row r="177" spans="1:13" x14ac:dyDescent="0.25">
      <c r="A177" t="s">
        <v>603</v>
      </c>
      <c r="B177" t="s">
        <v>604</v>
      </c>
      <c r="C177" t="s">
        <v>51</v>
      </c>
      <c r="D177">
        <v>68</v>
      </c>
      <c r="E177" t="s">
        <v>605</v>
      </c>
      <c r="F177" t="s">
        <v>40</v>
      </c>
      <c r="G177" t="s">
        <v>73</v>
      </c>
      <c r="H177">
        <v>10</v>
      </c>
      <c r="I177">
        <v>450.15</v>
      </c>
      <c r="J177">
        <v>4501.5</v>
      </c>
      <c r="K177">
        <v>8.64</v>
      </c>
      <c r="L177" s="7">
        <v>46096</v>
      </c>
      <c r="M177" t="str">
        <f>TEXT(customer_demographic_sales_data[[#This Row],[Purchase_Date]],"YYYY-MM")</f>
        <v>2026-03</v>
      </c>
    </row>
    <row r="178" spans="1:13" x14ac:dyDescent="0.25">
      <c r="A178" t="s">
        <v>606</v>
      </c>
      <c r="B178" t="s">
        <v>607</v>
      </c>
      <c r="C178" t="s">
        <v>51</v>
      </c>
      <c r="D178">
        <v>32</v>
      </c>
      <c r="E178" t="s">
        <v>608</v>
      </c>
      <c r="F178" t="s">
        <v>46</v>
      </c>
      <c r="G178" t="s">
        <v>64</v>
      </c>
      <c r="H178">
        <v>6</v>
      </c>
      <c r="I178">
        <v>1560.02</v>
      </c>
      <c r="J178">
        <v>9360.1200000000008</v>
      </c>
      <c r="K178">
        <v>34.340000000000003</v>
      </c>
      <c r="L178" s="7">
        <v>45713</v>
      </c>
      <c r="M178" t="str">
        <f>TEXT(customer_demographic_sales_data[[#This Row],[Purchase_Date]],"YYYY-MM")</f>
        <v>2025-02</v>
      </c>
    </row>
    <row r="179" spans="1:13" x14ac:dyDescent="0.25">
      <c r="A179" t="s">
        <v>609</v>
      </c>
      <c r="B179" t="s">
        <v>610</v>
      </c>
      <c r="C179" t="s">
        <v>62</v>
      </c>
      <c r="D179">
        <v>27</v>
      </c>
      <c r="E179" t="s">
        <v>611</v>
      </c>
      <c r="F179" t="s">
        <v>46</v>
      </c>
      <c r="G179" t="s">
        <v>53</v>
      </c>
      <c r="H179">
        <v>3</v>
      </c>
      <c r="I179">
        <v>1103.42</v>
      </c>
      <c r="J179">
        <v>3310.26</v>
      </c>
      <c r="K179">
        <v>34.659999999999997</v>
      </c>
      <c r="L179" s="7">
        <v>45884</v>
      </c>
      <c r="M179" t="str">
        <f>TEXT(customer_demographic_sales_data[[#This Row],[Purchase_Date]],"YYYY-MM")</f>
        <v>2025-08</v>
      </c>
    </row>
    <row r="180" spans="1:13" x14ac:dyDescent="0.25">
      <c r="A180" t="s">
        <v>612</v>
      </c>
      <c r="B180" t="s">
        <v>613</v>
      </c>
      <c r="C180" t="s">
        <v>62</v>
      </c>
      <c r="D180">
        <v>26</v>
      </c>
      <c r="E180" t="s">
        <v>614</v>
      </c>
      <c r="F180" t="s">
        <v>58</v>
      </c>
      <c r="G180" t="s">
        <v>47</v>
      </c>
      <c r="H180">
        <v>1</v>
      </c>
      <c r="I180">
        <v>748.57</v>
      </c>
      <c r="J180">
        <v>748.57</v>
      </c>
      <c r="K180">
        <v>6.97</v>
      </c>
      <c r="L180" s="7">
        <v>45935</v>
      </c>
      <c r="M180" t="str">
        <f>TEXT(customer_demographic_sales_data[[#This Row],[Purchase_Date]],"YYYY-MM")</f>
        <v>2025-10</v>
      </c>
    </row>
    <row r="181" spans="1:13" x14ac:dyDescent="0.25">
      <c r="A181" t="s">
        <v>615</v>
      </c>
      <c r="B181" t="s">
        <v>616</v>
      </c>
      <c r="C181" t="s">
        <v>51</v>
      </c>
      <c r="D181">
        <v>21</v>
      </c>
      <c r="E181" t="s">
        <v>617</v>
      </c>
      <c r="F181" t="s">
        <v>46</v>
      </c>
      <c r="G181" t="s">
        <v>53</v>
      </c>
      <c r="H181">
        <v>3</v>
      </c>
      <c r="I181">
        <v>1496.35</v>
      </c>
      <c r="J181">
        <v>4489.05</v>
      </c>
      <c r="K181">
        <v>2.54</v>
      </c>
      <c r="L181" s="7">
        <v>45689</v>
      </c>
      <c r="M181" t="str">
        <f>TEXT(customer_demographic_sales_data[[#This Row],[Purchase_Date]],"YYYY-MM")</f>
        <v>2025-02</v>
      </c>
    </row>
    <row r="182" spans="1:13" x14ac:dyDescent="0.25">
      <c r="A182" t="s">
        <v>618</v>
      </c>
      <c r="B182" t="s">
        <v>619</v>
      </c>
      <c r="C182" t="s">
        <v>62</v>
      </c>
      <c r="D182">
        <v>46</v>
      </c>
      <c r="E182" t="s">
        <v>620</v>
      </c>
      <c r="F182" t="s">
        <v>102</v>
      </c>
      <c r="G182" t="s">
        <v>73</v>
      </c>
      <c r="H182">
        <v>6</v>
      </c>
      <c r="I182">
        <v>1050.81</v>
      </c>
      <c r="J182">
        <v>6304.86</v>
      </c>
      <c r="K182">
        <v>8.86</v>
      </c>
      <c r="L182" s="7">
        <v>45456</v>
      </c>
      <c r="M182" t="str">
        <f>TEXT(customer_demographic_sales_data[[#This Row],[Purchase_Date]],"YYYY-MM")</f>
        <v>2024-06</v>
      </c>
    </row>
    <row r="183" spans="1:13" x14ac:dyDescent="0.25">
      <c r="A183" t="s">
        <v>621</v>
      </c>
      <c r="B183" t="s">
        <v>622</v>
      </c>
      <c r="C183" t="s">
        <v>51</v>
      </c>
      <c r="D183">
        <v>57</v>
      </c>
      <c r="E183" t="s">
        <v>623</v>
      </c>
      <c r="F183" t="s">
        <v>58</v>
      </c>
      <c r="G183" t="s">
        <v>188</v>
      </c>
      <c r="H183">
        <v>1</v>
      </c>
      <c r="I183">
        <v>1468.12</v>
      </c>
      <c r="J183">
        <v>1468.12</v>
      </c>
      <c r="K183">
        <v>25.73</v>
      </c>
      <c r="L183" s="7">
        <v>46017</v>
      </c>
      <c r="M183" t="str">
        <f>TEXT(customer_demographic_sales_data[[#This Row],[Purchase_Date]],"YYYY-MM")</f>
        <v>2025-12</v>
      </c>
    </row>
    <row r="184" spans="1:13" x14ac:dyDescent="0.25">
      <c r="A184" t="s">
        <v>624</v>
      </c>
      <c r="B184" t="s">
        <v>625</v>
      </c>
      <c r="C184" t="s">
        <v>38</v>
      </c>
      <c r="D184">
        <v>19</v>
      </c>
      <c r="E184" t="s">
        <v>626</v>
      </c>
      <c r="F184" t="s">
        <v>102</v>
      </c>
      <c r="G184" t="s">
        <v>53</v>
      </c>
      <c r="H184">
        <v>1</v>
      </c>
      <c r="I184">
        <v>1997.24</v>
      </c>
      <c r="J184">
        <v>1997.24</v>
      </c>
      <c r="K184">
        <v>4.32</v>
      </c>
      <c r="L184" s="7">
        <v>45521</v>
      </c>
      <c r="M184" t="str">
        <f>TEXT(customer_demographic_sales_data[[#This Row],[Purchase_Date]],"YYYY-MM")</f>
        <v>2024-08</v>
      </c>
    </row>
    <row r="185" spans="1:13" x14ac:dyDescent="0.25">
      <c r="A185" t="s">
        <v>627</v>
      </c>
      <c r="B185" t="s">
        <v>628</v>
      </c>
      <c r="C185" t="s">
        <v>62</v>
      </c>
      <c r="D185">
        <v>63</v>
      </c>
      <c r="E185" t="s">
        <v>629</v>
      </c>
      <c r="F185" t="s">
        <v>58</v>
      </c>
      <c r="G185" t="s">
        <v>73</v>
      </c>
      <c r="H185">
        <v>8</v>
      </c>
      <c r="I185">
        <v>193.31</v>
      </c>
      <c r="J185">
        <v>1546.48</v>
      </c>
      <c r="K185">
        <v>5.93</v>
      </c>
      <c r="L185" s="7">
        <v>45759</v>
      </c>
      <c r="M185" t="str">
        <f>TEXT(customer_demographic_sales_data[[#This Row],[Purchase_Date]],"YYYY-MM")</f>
        <v>2025-04</v>
      </c>
    </row>
    <row r="186" spans="1:13" x14ac:dyDescent="0.25">
      <c r="A186" t="s">
        <v>630</v>
      </c>
      <c r="B186" t="s">
        <v>631</v>
      </c>
      <c r="C186" t="s">
        <v>51</v>
      </c>
      <c r="D186">
        <v>26</v>
      </c>
      <c r="E186" t="s">
        <v>632</v>
      </c>
      <c r="F186" t="s">
        <v>58</v>
      </c>
      <c r="G186" t="s">
        <v>188</v>
      </c>
      <c r="H186">
        <v>5</v>
      </c>
      <c r="I186">
        <v>1267.42</v>
      </c>
      <c r="J186">
        <v>6337.1</v>
      </c>
      <c r="K186">
        <v>39.79</v>
      </c>
      <c r="L186" s="7">
        <v>45645</v>
      </c>
      <c r="M186" t="str">
        <f>TEXT(customer_demographic_sales_data[[#This Row],[Purchase_Date]],"YYYY-MM")</f>
        <v>2024-12</v>
      </c>
    </row>
    <row r="187" spans="1:13" x14ac:dyDescent="0.25">
      <c r="A187" t="s">
        <v>633</v>
      </c>
      <c r="B187" t="s">
        <v>634</v>
      </c>
      <c r="C187" t="s">
        <v>51</v>
      </c>
      <c r="D187">
        <v>51</v>
      </c>
      <c r="E187" t="s">
        <v>635</v>
      </c>
      <c r="F187" t="s">
        <v>102</v>
      </c>
      <c r="G187" t="s">
        <v>47</v>
      </c>
      <c r="H187">
        <v>5</v>
      </c>
      <c r="I187">
        <v>934.75</v>
      </c>
      <c r="J187">
        <v>4673.75</v>
      </c>
      <c r="K187">
        <v>31.72</v>
      </c>
      <c r="L187" s="7">
        <v>45489</v>
      </c>
      <c r="M187" t="str">
        <f>TEXT(customer_demographic_sales_data[[#This Row],[Purchase_Date]],"YYYY-MM")</f>
        <v>2024-07</v>
      </c>
    </row>
    <row r="188" spans="1:13" x14ac:dyDescent="0.25">
      <c r="A188" t="s">
        <v>636</v>
      </c>
      <c r="B188" t="s">
        <v>637</v>
      </c>
      <c r="C188" t="s">
        <v>62</v>
      </c>
      <c r="D188">
        <v>25</v>
      </c>
      <c r="E188" t="s">
        <v>638</v>
      </c>
      <c r="F188" t="s">
        <v>102</v>
      </c>
      <c r="G188" t="s">
        <v>188</v>
      </c>
      <c r="H188">
        <v>9</v>
      </c>
      <c r="I188">
        <v>1455.64</v>
      </c>
      <c r="J188">
        <v>13100.76</v>
      </c>
      <c r="K188">
        <v>35.520000000000003</v>
      </c>
      <c r="L188" s="7">
        <v>46097</v>
      </c>
      <c r="M188" t="str">
        <f>TEXT(customer_demographic_sales_data[[#This Row],[Purchase_Date]],"YYYY-MM")</f>
        <v>2026-03</v>
      </c>
    </row>
    <row r="189" spans="1:13" x14ac:dyDescent="0.25">
      <c r="A189" t="s">
        <v>639</v>
      </c>
      <c r="B189" t="s">
        <v>640</v>
      </c>
      <c r="C189" t="s">
        <v>38</v>
      </c>
      <c r="D189">
        <v>44</v>
      </c>
      <c r="E189" t="s">
        <v>641</v>
      </c>
      <c r="F189" t="s">
        <v>102</v>
      </c>
      <c r="G189" t="s">
        <v>53</v>
      </c>
      <c r="H189">
        <v>6</v>
      </c>
      <c r="I189">
        <v>1663.47</v>
      </c>
      <c r="J189">
        <v>9980.82</v>
      </c>
      <c r="K189">
        <v>3.8</v>
      </c>
      <c r="L189" s="7">
        <v>45509</v>
      </c>
      <c r="M189" t="str">
        <f>TEXT(customer_demographic_sales_data[[#This Row],[Purchase_Date]],"YYYY-MM")</f>
        <v>2024-08</v>
      </c>
    </row>
    <row r="190" spans="1:13" x14ac:dyDescent="0.25">
      <c r="A190" t="s">
        <v>642</v>
      </c>
      <c r="B190" t="s">
        <v>643</v>
      </c>
      <c r="C190" t="s">
        <v>38</v>
      </c>
      <c r="D190">
        <v>45</v>
      </c>
      <c r="E190" t="s">
        <v>644</v>
      </c>
      <c r="F190" t="s">
        <v>40</v>
      </c>
      <c r="G190" t="s">
        <v>53</v>
      </c>
      <c r="H190">
        <v>6</v>
      </c>
      <c r="I190">
        <v>1346.96</v>
      </c>
      <c r="J190">
        <v>8081.76</v>
      </c>
      <c r="K190">
        <v>36.92</v>
      </c>
      <c r="L190" s="7">
        <v>45604</v>
      </c>
      <c r="M190" t="str">
        <f>TEXT(customer_demographic_sales_data[[#This Row],[Purchase_Date]],"YYYY-MM")</f>
        <v>2024-11</v>
      </c>
    </row>
    <row r="191" spans="1:13" x14ac:dyDescent="0.25">
      <c r="A191" t="s">
        <v>645</v>
      </c>
      <c r="B191" t="s">
        <v>646</v>
      </c>
      <c r="C191" t="s">
        <v>62</v>
      </c>
      <c r="D191">
        <v>22</v>
      </c>
      <c r="E191" t="s">
        <v>647</v>
      </c>
      <c r="F191" t="s">
        <v>102</v>
      </c>
      <c r="G191" t="s">
        <v>47</v>
      </c>
      <c r="H191">
        <v>2</v>
      </c>
      <c r="I191">
        <v>1671.96</v>
      </c>
      <c r="J191">
        <v>3343.92</v>
      </c>
      <c r="K191">
        <v>29.78</v>
      </c>
      <c r="L191" s="7">
        <v>45479</v>
      </c>
      <c r="M191" t="str">
        <f>TEXT(customer_demographic_sales_data[[#This Row],[Purchase_Date]],"YYYY-MM")</f>
        <v>2024-07</v>
      </c>
    </row>
    <row r="192" spans="1:13" x14ac:dyDescent="0.25">
      <c r="A192" t="s">
        <v>648</v>
      </c>
      <c r="B192" t="s">
        <v>649</v>
      </c>
      <c r="C192" t="s">
        <v>51</v>
      </c>
      <c r="D192">
        <v>41</v>
      </c>
      <c r="E192" t="s">
        <v>650</v>
      </c>
      <c r="F192" t="s">
        <v>58</v>
      </c>
      <c r="G192" t="s">
        <v>53</v>
      </c>
      <c r="H192">
        <v>3</v>
      </c>
      <c r="I192">
        <v>1134.92</v>
      </c>
      <c r="J192">
        <v>3404.76</v>
      </c>
      <c r="K192">
        <v>4.8899999999999997</v>
      </c>
      <c r="L192" s="7">
        <v>45920</v>
      </c>
      <c r="M192" t="str">
        <f>TEXT(customer_demographic_sales_data[[#This Row],[Purchase_Date]],"YYYY-MM")</f>
        <v>2025-09</v>
      </c>
    </row>
    <row r="193" spans="1:13" x14ac:dyDescent="0.25">
      <c r="A193" t="s">
        <v>651</v>
      </c>
      <c r="B193" t="s">
        <v>652</v>
      </c>
      <c r="C193" t="s">
        <v>51</v>
      </c>
      <c r="D193">
        <v>40</v>
      </c>
      <c r="E193" t="s">
        <v>653</v>
      </c>
      <c r="F193" t="s">
        <v>46</v>
      </c>
      <c r="G193" t="s">
        <v>64</v>
      </c>
      <c r="H193">
        <v>7</v>
      </c>
      <c r="I193">
        <v>1742.78</v>
      </c>
      <c r="J193">
        <v>12199.46</v>
      </c>
      <c r="K193">
        <v>24.02</v>
      </c>
      <c r="L193" s="7">
        <v>45785</v>
      </c>
      <c r="M193" t="str">
        <f>TEXT(customer_demographic_sales_data[[#This Row],[Purchase_Date]],"YYYY-MM")</f>
        <v>2025-05</v>
      </c>
    </row>
    <row r="194" spans="1:13" x14ac:dyDescent="0.25">
      <c r="A194" t="s">
        <v>654</v>
      </c>
      <c r="B194" t="s">
        <v>655</v>
      </c>
      <c r="C194" t="s">
        <v>62</v>
      </c>
      <c r="D194">
        <v>40</v>
      </c>
      <c r="E194" t="s">
        <v>656</v>
      </c>
      <c r="F194" t="s">
        <v>40</v>
      </c>
      <c r="G194" t="s">
        <v>53</v>
      </c>
      <c r="H194">
        <v>2</v>
      </c>
      <c r="I194">
        <v>1176.94</v>
      </c>
      <c r="J194">
        <v>2353.88</v>
      </c>
      <c r="K194">
        <v>19.29</v>
      </c>
      <c r="L194" s="7">
        <v>45779</v>
      </c>
      <c r="M194" t="str">
        <f>TEXT(customer_demographic_sales_data[[#This Row],[Purchase_Date]],"YYYY-MM")</f>
        <v>2025-05</v>
      </c>
    </row>
    <row r="195" spans="1:13" x14ac:dyDescent="0.25">
      <c r="A195" t="s">
        <v>657</v>
      </c>
      <c r="B195" t="s">
        <v>658</v>
      </c>
      <c r="C195" t="s">
        <v>38</v>
      </c>
      <c r="D195">
        <v>24</v>
      </c>
      <c r="E195" t="s">
        <v>659</v>
      </c>
      <c r="F195" t="s">
        <v>46</v>
      </c>
      <c r="G195" t="s">
        <v>64</v>
      </c>
      <c r="H195">
        <v>6</v>
      </c>
      <c r="I195">
        <v>1698.48</v>
      </c>
      <c r="J195">
        <v>10190.879999999999</v>
      </c>
      <c r="K195">
        <v>22.96</v>
      </c>
      <c r="L195" s="7">
        <v>45898</v>
      </c>
      <c r="M195" t="str">
        <f>TEXT(customer_demographic_sales_data[[#This Row],[Purchase_Date]],"YYYY-MM")</f>
        <v>2025-08</v>
      </c>
    </row>
    <row r="196" spans="1:13" x14ac:dyDescent="0.25">
      <c r="A196" t="s">
        <v>660</v>
      </c>
      <c r="B196" t="s">
        <v>661</v>
      </c>
      <c r="C196" t="s">
        <v>51</v>
      </c>
      <c r="D196">
        <v>69</v>
      </c>
      <c r="E196" t="s">
        <v>662</v>
      </c>
      <c r="F196" t="s">
        <v>46</v>
      </c>
      <c r="G196" t="s">
        <v>73</v>
      </c>
      <c r="H196">
        <v>7</v>
      </c>
      <c r="I196">
        <v>1698.05</v>
      </c>
      <c r="J196">
        <v>11886.35</v>
      </c>
      <c r="K196">
        <v>37.159999999999997</v>
      </c>
      <c r="L196" s="7">
        <v>45927</v>
      </c>
      <c r="M196" t="str">
        <f>TEXT(customer_demographic_sales_data[[#This Row],[Purchase_Date]],"YYYY-MM")</f>
        <v>2025-09</v>
      </c>
    </row>
    <row r="197" spans="1:13" x14ac:dyDescent="0.25">
      <c r="A197" t="s">
        <v>663</v>
      </c>
      <c r="B197" t="s">
        <v>664</v>
      </c>
      <c r="C197" t="s">
        <v>38</v>
      </c>
      <c r="D197">
        <v>62</v>
      </c>
      <c r="E197" t="s">
        <v>665</v>
      </c>
      <c r="F197" t="s">
        <v>58</v>
      </c>
      <c r="G197" t="s">
        <v>64</v>
      </c>
      <c r="H197">
        <v>5</v>
      </c>
      <c r="I197">
        <v>106.46</v>
      </c>
      <c r="J197">
        <v>532.29999999999995</v>
      </c>
      <c r="K197">
        <v>14.04</v>
      </c>
      <c r="L197" s="7">
        <v>45975</v>
      </c>
      <c r="M197" t="str">
        <f>TEXT(customer_demographic_sales_data[[#This Row],[Purchase_Date]],"YYYY-MM")</f>
        <v>2025-11</v>
      </c>
    </row>
    <row r="198" spans="1:13" x14ac:dyDescent="0.25">
      <c r="A198" t="s">
        <v>666</v>
      </c>
      <c r="B198" t="s">
        <v>667</v>
      </c>
      <c r="C198" t="s">
        <v>38</v>
      </c>
      <c r="D198">
        <v>29</v>
      </c>
      <c r="E198" t="s">
        <v>668</v>
      </c>
      <c r="F198" t="s">
        <v>46</v>
      </c>
      <c r="G198" t="s">
        <v>41</v>
      </c>
      <c r="H198">
        <v>3</v>
      </c>
      <c r="I198">
        <v>1154.33</v>
      </c>
      <c r="J198">
        <v>3462.99</v>
      </c>
      <c r="K198">
        <v>29.64</v>
      </c>
      <c r="L198" s="7">
        <v>45827</v>
      </c>
      <c r="M198" t="str">
        <f>TEXT(customer_demographic_sales_data[[#This Row],[Purchase_Date]],"YYYY-MM")</f>
        <v>2025-06</v>
      </c>
    </row>
    <row r="199" spans="1:13" x14ac:dyDescent="0.25">
      <c r="A199" t="s">
        <v>669</v>
      </c>
      <c r="B199" t="s">
        <v>670</v>
      </c>
      <c r="C199" t="s">
        <v>62</v>
      </c>
      <c r="D199">
        <v>19</v>
      </c>
      <c r="E199" t="s">
        <v>671</v>
      </c>
      <c r="F199" t="s">
        <v>102</v>
      </c>
      <c r="G199" t="s">
        <v>188</v>
      </c>
      <c r="H199">
        <v>2</v>
      </c>
      <c r="I199">
        <v>1504.92</v>
      </c>
      <c r="J199">
        <v>3009.84</v>
      </c>
      <c r="K199">
        <v>18.149999999999999</v>
      </c>
      <c r="L199" s="7">
        <v>45948</v>
      </c>
      <c r="M199" t="str">
        <f>TEXT(customer_demographic_sales_data[[#This Row],[Purchase_Date]],"YYYY-MM")</f>
        <v>2025-10</v>
      </c>
    </row>
    <row r="200" spans="1:13" x14ac:dyDescent="0.25">
      <c r="A200" t="s">
        <v>672</v>
      </c>
      <c r="B200" t="s">
        <v>673</v>
      </c>
      <c r="C200" t="s">
        <v>38</v>
      </c>
      <c r="D200">
        <v>28</v>
      </c>
      <c r="E200" t="s">
        <v>674</v>
      </c>
      <c r="F200" t="s">
        <v>46</v>
      </c>
      <c r="G200" t="s">
        <v>47</v>
      </c>
      <c r="H200">
        <v>6</v>
      </c>
      <c r="I200">
        <v>657.69</v>
      </c>
      <c r="J200">
        <v>3946.14</v>
      </c>
      <c r="K200">
        <v>6.22</v>
      </c>
      <c r="L200" s="7">
        <v>45641</v>
      </c>
      <c r="M200" t="str">
        <f>TEXT(customer_demographic_sales_data[[#This Row],[Purchase_Date]],"YYYY-MM")</f>
        <v>2024-12</v>
      </c>
    </row>
    <row r="201" spans="1:13" x14ac:dyDescent="0.25">
      <c r="A201" t="s">
        <v>675</v>
      </c>
      <c r="B201" t="s">
        <v>676</v>
      </c>
      <c r="C201" t="s">
        <v>62</v>
      </c>
      <c r="D201">
        <v>66</v>
      </c>
      <c r="E201" t="s">
        <v>677</v>
      </c>
      <c r="F201" t="s">
        <v>58</v>
      </c>
      <c r="G201" t="s">
        <v>188</v>
      </c>
      <c r="H201">
        <v>10</v>
      </c>
      <c r="I201">
        <v>147.04</v>
      </c>
      <c r="J201">
        <v>1470.4</v>
      </c>
      <c r="K201">
        <v>26.48</v>
      </c>
      <c r="L201" s="7">
        <v>45936</v>
      </c>
      <c r="M201" t="str">
        <f>TEXT(customer_demographic_sales_data[[#This Row],[Purchase_Date]],"YYYY-MM")</f>
        <v>2025-10</v>
      </c>
    </row>
    <row r="202" spans="1:13" x14ac:dyDescent="0.25">
      <c r="A202" t="s">
        <v>678</v>
      </c>
      <c r="B202" t="s">
        <v>679</v>
      </c>
      <c r="C202" t="s">
        <v>38</v>
      </c>
      <c r="D202">
        <v>49</v>
      </c>
      <c r="E202" t="s">
        <v>680</v>
      </c>
      <c r="F202" t="s">
        <v>40</v>
      </c>
      <c r="G202" t="s">
        <v>73</v>
      </c>
      <c r="H202">
        <v>10</v>
      </c>
      <c r="I202">
        <v>911.99</v>
      </c>
      <c r="J202">
        <v>9119.9</v>
      </c>
      <c r="K202">
        <v>4.55</v>
      </c>
      <c r="L202" s="7">
        <v>45661</v>
      </c>
      <c r="M202" t="str">
        <f>TEXT(customer_demographic_sales_data[[#This Row],[Purchase_Date]],"YYYY-MM")</f>
        <v>2025-01</v>
      </c>
    </row>
    <row r="203" spans="1:13" x14ac:dyDescent="0.25">
      <c r="A203" t="s">
        <v>681</v>
      </c>
      <c r="B203" t="s">
        <v>682</v>
      </c>
      <c r="C203" t="s">
        <v>51</v>
      </c>
      <c r="D203">
        <v>45</v>
      </c>
      <c r="E203" t="s">
        <v>683</v>
      </c>
      <c r="F203" t="s">
        <v>102</v>
      </c>
      <c r="G203" t="s">
        <v>73</v>
      </c>
      <c r="H203">
        <v>2</v>
      </c>
      <c r="I203">
        <v>602.33000000000004</v>
      </c>
      <c r="J203">
        <v>1204.6600000000001</v>
      </c>
      <c r="K203">
        <v>26.69</v>
      </c>
      <c r="L203" s="7">
        <v>45994</v>
      </c>
      <c r="M203" t="str">
        <f>TEXT(customer_demographic_sales_data[[#This Row],[Purchase_Date]],"YYYY-MM")</f>
        <v>2025-12</v>
      </c>
    </row>
    <row r="204" spans="1:13" x14ac:dyDescent="0.25">
      <c r="A204" t="s">
        <v>684</v>
      </c>
      <c r="B204" t="s">
        <v>685</v>
      </c>
      <c r="C204" t="s">
        <v>51</v>
      </c>
      <c r="D204">
        <v>20</v>
      </c>
      <c r="E204" t="s">
        <v>686</v>
      </c>
      <c r="F204" t="s">
        <v>46</v>
      </c>
      <c r="G204" t="s">
        <v>47</v>
      </c>
      <c r="H204">
        <v>4</v>
      </c>
      <c r="I204">
        <v>820.76</v>
      </c>
      <c r="J204">
        <v>3283.04</v>
      </c>
      <c r="K204">
        <v>8.18</v>
      </c>
      <c r="L204" s="7">
        <v>45561</v>
      </c>
      <c r="M204" t="str">
        <f>TEXT(customer_demographic_sales_data[[#This Row],[Purchase_Date]],"YYYY-MM")</f>
        <v>2024-09</v>
      </c>
    </row>
    <row r="205" spans="1:13" x14ac:dyDescent="0.25">
      <c r="A205" t="s">
        <v>687</v>
      </c>
      <c r="B205" t="s">
        <v>688</v>
      </c>
      <c r="C205" t="s">
        <v>38</v>
      </c>
      <c r="D205">
        <v>31</v>
      </c>
      <c r="E205" t="s">
        <v>689</v>
      </c>
      <c r="F205" t="s">
        <v>58</v>
      </c>
      <c r="G205" t="s">
        <v>47</v>
      </c>
      <c r="H205">
        <v>3</v>
      </c>
      <c r="I205">
        <v>1540.11</v>
      </c>
      <c r="J205">
        <v>4620.33</v>
      </c>
      <c r="K205">
        <v>0.31</v>
      </c>
      <c r="L205" s="7">
        <v>45541</v>
      </c>
      <c r="M205" t="str">
        <f>TEXT(customer_demographic_sales_data[[#This Row],[Purchase_Date]],"YYYY-MM")</f>
        <v>2024-09</v>
      </c>
    </row>
    <row r="206" spans="1:13" x14ac:dyDescent="0.25">
      <c r="A206" t="s">
        <v>690</v>
      </c>
      <c r="B206" t="s">
        <v>691</v>
      </c>
      <c r="C206" t="s">
        <v>38</v>
      </c>
      <c r="D206">
        <v>65</v>
      </c>
      <c r="E206" t="s">
        <v>692</v>
      </c>
      <c r="F206" t="s">
        <v>40</v>
      </c>
      <c r="G206" t="s">
        <v>73</v>
      </c>
      <c r="H206">
        <v>7</v>
      </c>
      <c r="I206">
        <v>392.6</v>
      </c>
      <c r="J206">
        <v>2748.2</v>
      </c>
      <c r="K206">
        <v>22.35</v>
      </c>
      <c r="L206" s="7">
        <v>45884</v>
      </c>
      <c r="M206" t="str">
        <f>TEXT(customer_demographic_sales_data[[#This Row],[Purchase_Date]],"YYYY-MM")</f>
        <v>2025-08</v>
      </c>
    </row>
    <row r="207" spans="1:13" x14ac:dyDescent="0.25">
      <c r="A207" t="s">
        <v>693</v>
      </c>
      <c r="B207" t="s">
        <v>694</v>
      </c>
      <c r="C207" t="s">
        <v>51</v>
      </c>
      <c r="D207">
        <v>60</v>
      </c>
      <c r="E207" t="s">
        <v>695</v>
      </c>
      <c r="F207" t="s">
        <v>46</v>
      </c>
      <c r="G207" t="s">
        <v>188</v>
      </c>
      <c r="H207">
        <v>6</v>
      </c>
      <c r="I207">
        <v>190.55</v>
      </c>
      <c r="J207">
        <v>1143.3</v>
      </c>
      <c r="K207">
        <v>0.75</v>
      </c>
      <c r="L207" s="7">
        <v>45740</v>
      </c>
      <c r="M207" t="str">
        <f>TEXT(customer_demographic_sales_data[[#This Row],[Purchase_Date]],"YYYY-MM")</f>
        <v>2025-03</v>
      </c>
    </row>
    <row r="208" spans="1:13" x14ac:dyDescent="0.25">
      <c r="A208" t="s">
        <v>696</v>
      </c>
      <c r="B208" t="s">
        <v>697</v>
      </c>
      <c r="C208" t="s">
        <v>51</v>
      </c>
      <c r="D208">
        <v>22</v>
      </c>
      <c r="E208" t="s">
        <v>698</v>
      </c>
      <c r="F208" t="s">
        <v>102</v>
      </c>
      <c r="G208" t="s">
        <v>53</v>
      </c>
      <c r="H208">
        <v>6</v>
      </c>
      <c r="I208">
        <v>1172.73</v>
      </c>
      <c r="J208">
        <v>7036.38</v>
      </c>
      <c r="K208">
        <v>25.61</v>
      </c>
      <c r="L208" s="7">
        <v>45602</v>
      </c>
      <c r="M208" t="str">
        <f>TEXT(customer_demographic_sales_data[[#This Row],[Purchase_Date]],"YYYY-MM")</f>
        <v>2024-11</v>
      </c>
    </row>
    <row r="209" spans="1:13" x14ac:dyDescent="0.25">
      <c r="A209" t="s">
        <v>699</v>
      </c>
      <c r="B209" t="s">
        <v>700</v>
      </c>
      <c r="C209" t="s">
        <v>38</v>
      </c>
      <c r="D209">
        <v>36</v>
      </c>
      <c r="E209" t="s">
        <v>701</v>
      </c>
      <c r="F209" t="s">
        <v>40</v>
      </c>
      <c r="G209" t="s">
        <v>73</v>
      </c>
      <c r="H209">
        <v>2</v>
      </c>
      <c r="I209">
        <v>839.81</v>
      </c>
      <c r="J209">
        <v>1679.62</v>
      </c>
      <c r="K209">
        <v>18.399999999999999</v>
      </c>
      <c r="L209" s="7">
        <v>45706</v>
      </c>
      <c r="M209" t="str">
        <f>TEXT(customer_demographic_sales_data[[#This Row],[Purchase_Date]],"YYYY-MM")</f>
        <v>2025-02</v>
      </c>
    </row>
    <row r="210" spans="1:13" x14ac:dyDescent="0.25">
      <c r="A210" t="s">
        <v>702</v>
      </c>
      <c r="B210" t="s">
        <v>703</v>
      </c>
      <c r="C210" t="s">
        <v>62</v>
      </c>
      <c r="D210">
        <v>62</v>
      </c>
      <c r="E210" t="s">
        <v>704</v>
      </c>
      <c r="F210" t="s">
        <v>40</v>
      </c>
      <c r="G210" t="s">
        <v>188</v>
      </c>
      <c r="H210">
        <v>6</v>
      </c>
      <c r="I210">
        <v>221.85</v>
      </c>
      <c r="J210">
        <v>1331.1</v>
      </c>
      <c r="K210">
        <v>23.55</v>
      </c>
      <c r="L210" s="7">
        <v>45830</v>
      </c>
      <c r="M210" t="str">
        <f>TEXT(customer_demographic_sales_data[[#This Row],[Purchase_Date]],"YYYY-MM")</f>
        <v>2025-06</v>
      </c>
    </row>
    <row r="211" spans="1:13" x14ac:dyDescent="0.25">
      <c r="A211" t="s">
        <v>705</v>
      </c>
      <c r="B211" t="s">
        <v>706</v>
      </c>
      <c r="C211" t="s">
        <v>38</v>
      </c>
      <c r="D211">
        <v>51</v>
      </c>
      <c r="E211" t="s">
        <v>707</v>
      </c>
      <c r="F211" t="s">
        <v>58</v>
      </c>
      <c r="G211" t="s">
        <v>41</v>
      </c>
      <c r="H211">
        <v>2</v>
      </c>
      <c r="I211">
        <v>821.75</v>
      </c>
      <c r="J211">
        <v>1643.5</v>
      </c>
      <c r="K211">
        <v>13.32</v>
      </c>
      <c r="L211" s="7">
        <v>45919</v>
      </c>
      <c r="M211" t="str">
        <f>TEXT(customer_demographic_sales_data[[#This Row],[Purchase_Date]],"YYYY-MM")</f>
        <v>2025-09</v>
      </c>
    </row>
    <row r="212" spans="1:13" x14ac:dyDescent="0.25">
      <c r="A212" t="s">
        <v>708</v>
      </c>
      <c r="B212" t="s">
        <v>709</v>
      </c>
      <c r="C212" t="s">
        <v>62</v>
      </c>
      <c r="D212">
        <v>28</v>
      </c>
      <c r="E212" t="s">
        <v>710</v>
      </c>
      <c r="F212" t="s">
        <v>40</v>
      </c>
      <c r="G212" t="s">
        <v>64</v>
      </c>
      <c r="H212">
        <v>2</v>
      </c>
      <c r="I212">
        <v>1045.44</v>
      </c>
      <c r="J212">
        <v>2090.88</v>
      </c>
      <c r="K212">
        <v>14.04</v>
      </c>
      <c r="L212" s="7">
        <v>45632</v>
      </c>
      <c r="M212" t="str">
        <f>TEXT(customer_demographic_sales_data[[#This Row],[Purchase_Date]],"YYYY-MM")</f>
        <v>2024-12</v>
      </c>
    </row>
    <row r="213" spans="1:13" x14ac:dyDescent="0.25">
      <c r="A213" t="s">
        <v>711</v>
      </c>
      <c r="B213" t="s">
        <v>712</v>
      </c>
      <c r="C213" t="s">
        <v>62</v>
      </c>
      <c r="D213">
        <v>70</v>
      </c>
      <c r="E213" t="s">
        <v>713</v>
      </c>
      <c r="F213" t="s">
        <v>58</v>
      </c>
      <c r="G213" t="s">
        <v>41</v>
      </c>
      <c r="H213">
        <v>3</v>
      </c>
      <c r="I213">
        <v>510.72</v>
      </c>
      <c r="J213">
        <v>1532.16</v>
      </c>
      <c r="K213">
        <v>6.94</v>
      </c>
      <c r="L213" s="7">
        <v>46143</v>
      </c>
      <c r="M213" t="str">
        <f>TEXT(customer_demographic_sales_data[[#This Row],[Purchase_Date]],"YYYY-MM")</f>
        <v>2026-05</v>
      </c>
    </row>
    <row r="214" spans="1:13" x14ac:dyDescent="0.25">
      <c r="A214" t="s">
        <v>714</v>
      </c>
      <c r="B214" t="s">
        <v>715</v>
      </c>
      <c r="C214" t="s">
        <v>51</v>
      </c>
      <c r="D214">
        <v>27</v>
      </c>
      <c r="E214" t="s">
        <v>716</v>
      </c>
      <c r="F214" t="s">
        <v>102</v>
      </c>
      <c r="G214" t="s">
        <v>188</v>
      </c>
      <c r="H214">
        <v>2</v>
      </c>
      <c r="I214">
        <v>395.43</v>
      </c>
      <c r="J214">
        <v>790.86</v>
      </c>
      <c r="K214">
        <v>30.18</v>
      </c>
      <c r="L214" s="7">
        <v>45712</v>
      </c>
      <c r="M214" t="str">
        <f>TEXT(customer_demographic_sales_data[[#This Row],[Purchase_Date]],"YYYY-MM")</f>
        <v>2025-02</v>
      </c>
    </row>
    <row r="215" spans="1:13" x14ac:dyDescent="0.25">
      <c r="A215" t="s">
        <v>717</v>
      </c>
      <c r="B215" t="s">
        <v>718</v>
      </c>
      <c r="C215" t="s">
        <v>51</v>
      </c>
      <c r="D215">
        <v>66</v>
      </c>
      <c r="E215" t="s">
        <v>719</v>
      </c>
      <c r="F215" t="s">
        <v>58</v>
      </c>
      <c r="G215" t="s">
        <v>53</v>
      </c>
      <c r="H215">
        <v>10</v>
      </c>
      <c r="I215">
        <v>925.37</v>
      </c>
      <c r="J215">
        <v>9253.7000000000007</v>
      </c>
      <c r="K215">
        <v>12.65</v>
      </c>
      <c r="L215" s="7">
        <v>45450</v>
      </c>
      <c r="M215" t="str">
        <f>TEXT(customer_demographic_sales_data[[#This Row],[Purchase_Date]],"YYYY-MM")</f>
        <v>2024-06</v>
      </c>
    </row>
    <row r="216" spans="1:13" x14ac:dyDescent="0.25">
      <c r="A216" t="s">
        <v>720</v>
      </c>
      <c r="B216" t="s">
        <v>721</v>
      </c>
      <c r="C216" t="s">
        <v>51</v>
      </c>
      <c r="D216">
        <v>46</v>
      </c>
      <c r="E216" t="s">
        <v>722</v>
      </c>
      <c r="F216" t="s">
        <v>58</v>
      </c>
      <c r="G216" t="s">
        <v>64</v>
      </c>
      <c r="H216">
        <v>2</v>
      </c>
      <c r="I216">
        <v>964.4</v>
      </c>
      <c r="J216">
        <v>1928.8</v>
      </c>
      <c r="K216">
        <v>23.66</v>
      </c>
      <c r="L216" s="7">
        <v>45769</v>
      </c>
      <c r="M216" t="str">
        <f>TEXT(customer_demographic_sales_data[[#This Row],[Purchase_Date]],"YYYY-MM")</f>
        <v>2025-04</v>
      </c>
    </row>
    <row r="217" spans="1:13" x14ac:dyDescent="0.25">
      <c r="A217" t="s">
        <v>723</v>
      </c>
      <c r="B217" t="s">
        <v>724</v>
      </c>
      <c r="C217" t="s">
        <v>38</v>
      </c>
      <c r="D217">
        <v>40</v>
      </c>
      <c r="E217" t="s">
        <v>725</v>
      </c>
      <c r="F217" t="s">
        <v>102</v>
      </c>
      <c r="G217" t="s">
        <v>47</v>
      </c>
      <c r="H217">
        <v>9</v>
      </c>
      <c r="I217">
        <v>194.67</v>
      </c>
      <c r="J217">
        <v>1752.03</v>
      </c>
      <c r="K217">
        <v>2.2799999999999998</v>
      </c>
      <c r="L217" s="7">
        <v>46151</v>
      </c>
      <c r="M217" t="str">
        <f>TEXT(customer_demographic_sales_data[[#This Row],[Purchase_Date]],"YYYY-MM")</f>
        <v>2026-05</v>
      </c>
    </row>
    <row r="218" spans="1:13" x14ac:dyDescent="0.25">
      <c r="A218" t="s">
        <v>726</v>
      </c>
      <c r="B218" t="s">
        <v>727</v>
      </c>
      <c r="C218" t="s">
        <v>62</v>
      </c>
      <c r="D218">
        <v>36</v>
      </c>
      <c r="E218" t="s">
        <v>728</v>
      </c>
      <c r="F218" t="s">
        <v>102</v>
      </c>
      <c r="G218" t="s">
        <v>188</v>
      </c>
      <c r="H218">
        <v>2</v>
      </c>
      <c r="I218">
        <v>1307.0999999999999</v>
      </c>
      <c r="J218">
        <v>2614.1999999999998</v>
      </c>
      <c r="K218">
        <v>23.21</v>
      </c>
      <c r="L218" s="7">
        <v>45458</v>
      </c>
      <c r="M218" t="str">
        <f>TEXT(customer_demographic_sales_data[[#This Row],[Purchase_Date]],"YYYY-MM")</f>
        <v>2024-06</v>
      </c>
    </row>
    <row r="219" spans="1:13" x14ac:dyDescent="0.25">
      <c r="A219" t="s">
        <v>729</v>
      </c>
      <c r="B219" t="s">
        <v>730</v>
      </c>
      <c r="C219" t="s">
        <v>51</v>
      </c>
      <c r="D219">
        <v>68</v>
      </c>
      <c r="E219" t="s">
        <v>731</v>
      </c>
      <c r="F219" t="s">
        <v>40</v>
      </c>
      <c r="G219" t="s">
        <v>64</v>
      </c>
      <c r="H219">
        <v>1</v>
      </c>
      <c r="I219">
        <v>926.98</v>
      </c>
      <c r="J219">
        <v>926.98</v>
      </c>
      <c r="K219">
        <v>24.2</v>
      </c>
      <c r="L219" s="7">
        <v>45884</v>
      </c>
      <c r="M219" t="str">
        <f>TEXT(customer_demographic_sales_data[[#This Row],[Purchase_Date]],"YYYY-MM")</f>
        <v>2025-08</v>
      </c>
    </row>
    <row r="220" spans="1:13" x14ac:dyDescent="0.25">
      <c r="A220" t="s">
        <v>732</v>
      </c>
      <c r="B220" t="s">
        <v>733</v>
      </c>
      <c r="C220" t="s">
        <v>38</v>
      </c>
      <c r="D220">
        <v>50</v>
      </c>
      <c r="E220" t="s">
        <v>734</v>
      </c>
      <c r="F220" t="s">
        <v>46</v>
      </c>
      <c r="G220" t="s">
        <v>64</v>
      </c>
      <c r="H220">
        <v>3</v>
      </c>
      <c r="I220">
        <v>1917.56</v>
      </c>
      <c r="J220">
        <v>5752.68</v>
      </c>
      <c r="K220">
        <v>39.299999999999997</v>
      </c>
      <c r="L220" s="7">
        <v>45898</v>
      </c>
      <c r="M220" t="str">
        <f>TEXT(customer_demographic_sales_data[[#This Row],[Purchase_Date]],"YYYY-MM")</f>
        <v>2025-08</v>
      </c>
    </row>
    <row r="221" spans="1:13" x14ac:dyDescent="0.25">
      <c r="A221" t="s">
        <v>735</v>
      </c>
      <c r="B221" t="s">
        <v>736</v>
      </c>
      <c r="C221" t="s">
        <v>62</v>
      </c>
      <c r="D221">
        <v>23</v>
      </c>
      <c r="E221" t="s">
        <v>737</v>
      </c>
      <c r="F221" t="s">
        <v>40</v>
      </c>
      <c r="G221" t="s">
        <v>53</v>
      </c>
      <c r="H221">
        <v>9</v>
      </c>
      <c r="I221">
        <v>1309.95</v>
      </c>
      <c r="J221">
        <v>11789.55</v>
      </c>
      <c r="K221">
        <v>17.510000000000002</v>
      </c>
      <c r="L221" s="7">
        <v>45829</v>
      </c>
      <c r="M221" t="str">
        <f>TEXT(customer_demographic_sales_data[[#This Row],[Purchase_Date]],"YYYY-MM")</f>
        <v>2025-06</v>
      </c>
    </row>
    <row r="222" spans="1:13" x14ac:dyDescent="0.25">
      <c r="A222" t="s">
        <v>738</v>
      </c>
      <c r="B222" t="s">
        <v>739</v>
      </c>
      <c r="C222" t="s">
        <v>62</v>
      </c>
      <c r="D222">
        <v>46</v>
      </c>
      <c r="E222" t="s">
        <v>740</v>
      </c>
      <c r="F222" t="s">
        <v>58</v>
      </c>
      <c r="G222" t="s">
        <v>64</v>
      </c>
      <c r="H222">
        <v>9</v>
      </c>
      <c r="I222">
        <v>1069.3599999999999</v>
      </c>
      <c r="J222">
        <v>9624.24</v>
      </c>
      <c r="K222">
        <v>36.72</v>
      </c>
      <c r="L222" s="7">
        <v>45914</v>
      </c>
      <c r="M222" t="str">
        <f>TEXT(customer_demographic_sales_data[[#This Row],[Purchase_Date]],"YYYY-MM")</f>
        <v>2025-09</v>
      </c>
    </row>
    <row r="223" spans="1:13" x14ac:dyDescent="0.25">
      <c r="A223" t="s">
        <v>741</v>
      </c>
      <c r="B223" t="s">
        <v>742</v>
      </c>
      <c r="C223" t="s">
        <v>51</v>
      </c>
      <c r="D223">
        <v>42</v>
      </c>
      <c r="E223" t="s">
        <v>743</v>
      </c>
      <c r="F223" t="s">
        <v>46</v>
      </c>
      <c r="G223" t="s">
        <v>53</v>
      </c>
      <c r="H223">
        <v>7</v>
      </c>
      <c r="I223">
        <v>1560.21</v>
      </c>
      <c r="J223">
        <v>10921.47</v>
      </c>
      <c r="K223">
        <v>25.89</v>
      </c>
      <c r="L223" s="7">
        <v>45608</v>
      </c>
      <c r="M223" t="str">
        <f>TEXT(customer_demographic_sales_data[[#This Row],[Purchase_Date]],"YYYY-MM")</f>
        <v>2024-11</v>
      </c>
    </row>
    <row r="224" spans="1:13" x14ac:dyDescent="0.25">
      <c r="A224" t="s">
        <v>744</v>
      </c>
      <c r="B224" t="s">
        <v>745</v>
      </c>
      <c r="C224" t="s">
        <v>51</v>
      </c>
      <c r="D224">
        <v>22</v>
      </c>
      <c r="E224" t="s">
        <v>746</v>
      </c>
      <c r="F224" t="s">
        <v>102</v>
      </c>
      <c r="G224" t="s">
        <v>64</v>
      </c>
      <c r="H224">
        <v>6</v>
      </c>
      <c r="I224">
        <v>234.29</v>
      </c>
      <c r="J224">
        <v>1405.74</v>
      </c>
      <c r="K224">
        <v>10.08</v>
      </c>
      <c r="L224" s="7">
        <v>45845</v>
      </c>
      <c r="M224" t="str">
        <f>TEXT(customer_demographic_sales_data[[#This Row],[Purchase_Date]],"YYYY-MM")</f>
        <v>2025-07</v>
      </c>
    </row>
    <row r="225" spans="1:13" x14ac:dyDescent="0.25">
      <c r="A225" t="s">
        <v>747</v>
      </c>
      <c r="B225" t="s">
        <v>748</v>
      </c>
      <c r="C225" t="s">
        <v>38</v>
      </c>
      <c r="D225">
        <v>60</v>
      </c>
      <c r="E225" t="s">
        <v>749</v>
      </c>
      <c r="F225" t="s">
        <v>46</v>
      </c>
      <c r="G225" t="s">
        <v>73</v>
      </c>
      <c r="H225">
        <v>10</v>
      </c>
      <c r="I225">
        <v>1752.9</v>
      </c>
      <c r="J225">
        <v>17529</v>
      </c>
      <c r="K225">
        <v>26.54</v>
      </c>
      <c r="L225" s="7">
        <v>45911</v>
      </c>
      <c r="M225" t="str">
        <f>TEXT(customer_demographic_sales_data[[#This Row],[Purchase_Date]],"YYYY-MM")</f>
        <v>2025-09</v>
      </c>
    </row>
    <row r="226" spans="1:13" x14ac:dyDescent="0.25">
      <c r="A226" t="s">
        <v>750</v>
      </c>
      <c r="B226" t="s">
        <v>751</v>
      </c>
      <c r="C226" t="s">
        <v>51</v>
      </c>
      <c r="D226">
        <v>40</v>
      </c>
      <c r="E226" t="s">
        <v>752</v>
      </c>
      <c r="F226" t="s">
        <v>102</v>
      </c>
      <c r="G226" t="s">
        <v>41</v>
      </c>
      <c r="H226">
        <v>5</v>
      </c>
      <c r="I226">
        <v>1937.01</v>
      </c>
      <c r="J226">
        <v>9685.0499999999993</v>
      </c>
      <c r="K226">
        <v>23.8</v>
      </c>
      <c r="L226" s="7">
        <v>45455</v>
      </c>
      <c r="M226" t="str">
        <f>TEXT(customer_demographic_sales_data[[#This Row],[Purchase_Date]],"YYYY-MM")</f>
        <v>2024-06</v>
      </c>
    </row>
    <row r="227" spans="1:13" x14ac:dyDescent="0.25">
      <c r="A227" t="s">
        <v>753</v>
      </c>
      <c r="B227" t="s">
        <v>754</v>
      </c>
      <c r="C227" t="s">
        <v>51</v>
      </c>
      <c r="D227">
        <v>23</v>
      </c>
      <c r="E227" t="s">
        <v>755</v>
      </c>
      <c r="F227" t="s">
        <v>58</v>
      </c>
      <c r="G227" t="s">
        <v>41</v>
      </c>
      <c r="H227">
        <v>5</v>
      </c>
      <c r="I227">
        <v>1139.9000000000001</v>
      </c>
      <c r="J227">
        <v>5699.5</v>
      </c>
      <c r="K227">
        <v>26.8</v>
      </c>
      <c r="L227" s="7">
        <v>45788</v>
      </c>
      <c r="M227" t="str">
        <f>TEXT(customer_demographic_sales_data[[#This Row],[Purchase_Date]],"YYYY-MM")</f>
        <v>2025-05</v>
      </c>
    </row>
    <row r="228" spans="1:13" x14ac:dyDescent="0.25">
      <c r="A228" t="s">
        <v>756</v>
      </c>
      <c r="B228" t="s">
        <v>757</v>
      </c>
      <c r="C228" t="s">
        <v>51</v>
      </c>
      <c r="D228">
        <v>65</v>
      </c>
      <c r="E228" t="s">
        <v>758</v>
      </c>
      <c r="F228" t="s">
        <v>102</v>
      </c>
      <c r="G228" t="s">
        <v>73</v>
      </c>
      <c r="H228">
        <v>9</v>
      </c>
      <c r="I228">
        <v>232.23</v>
      </c>
      <c r="J228">
        <v>2090.0700000000002</v>
      </c>
      <c r="K228">
        <v>14.47</v>
      </c>
      <c r="L228" s="7">
        <v>46093</v>
      </c>
      <c r="M228" t="str">
        <f>TEXT(customer_demographic_sales_data[[#This Row],[Purchase_Date]],"YYYY-MM")</f>
        <v>2026-03</v>
      </c>
    </row>
    <row r="229" spans="1:13" x14ac:dyDescent="0.25">
      <c r="A229" t="s">
        <v>759</v>
      </c>
      <c r="B229" t="s">
        <v>760</v>
      </c>
      <c r="C229" t="s">
        <v>62</v>
      </c>
      <c r="D229">
        <v>41</v>
      </c>
      <c r="E229" t="s">
        <v>761</v>
      </c>
      <c r="F229" t="s">
        <v>58</v>
      </c>
      <c r="G229" t="s">
        <v>188</v>
      </c>
      <c r="H229">
        <v>5</v>
      </c>
      <c r="I229">
        <v>401.51</v>
      </c>
      <c r="J229">
        <v>2007.55</v>
      </c>
      <c r="K229">
        <v>7.68</v>
      </c>
      <c r="L229" s="7">
        <v>46115</v>
      </c>
      <c r="M229" t="str">
        <f>TEXT(customer_demographic_sales_data[[#This Row],[Purchase_Date]],"YYYY-MM")</f>
        <v>2026-04</v>
      </c>
    </row>
    <row r="230" spans="1:13" x14ac:dyDescent="0.25">
      <c r="A230" t="s">
        <v>762</v>
      </c>
      <c r="B230" t="s">
        <v>763</v>
      </c>
      <c r="C230" t="s">
        <v>62</v>
      </c>
      <c r="D230">
        <v>26</v>
      </c>
      <c r="E230" t="s">
        <v>764</v>
      </c>
      <c r="F230" t="s">
        <v>46</v>
      </c>
      <c r="G230" t="s">
        <v>53</v>
      </c>
      <c r="H230">
        <v>3</v>
      </c>
      <c r="I230">
        <v>200.47</v>
      </c>
      <c r="J230">
        <v>601.41</v>
      </c>
      <c r="K230">
        <v>13.47</v>
      </c>
      <c r="L230" s="7">
        <v>45628</v>
      </c>
      <c r="M230" t="str">
        <f>TEXT(customer_demographic_sales_data[[#This Row],[Purchase_Date]],"YYYY-MM")</f>
        <v>2024-12</v>
      </c>
    </row>
    <row r="231" spans="1:13" x14ac:dyDescent="0.25">
      <c r="A231" t="s">
        <v>765</v>
      </c>
      <c r="B231" t="s">
        <v>766</v>
      </c>
      <c r="C231" t="s">
        <v>38</v>
      </c>
      <c r="D231">
        <v>67</v>
      </c>
      <c r="E231" t="s">
        <v>767</v>
      </c>
      <c r="F231" t="s">
        <v>40</v>
      </c>
      <c r="G231" t="s">
        <v>41</v>
      </c>
      <c r="H231">
        <v>10</v>
      </c>
      <c r="I231">
        <v>305.55</v>
      </c>
      <c r="J231">
        <v>3055.5</v>
      </c>
      <c r="K231">
        <v>7.23</v>
      </c>
      <c r="L231" s="7">
        <v>45500</v>
      </c>
      <c r="M231" t="str">
        <f>TEXT(customer_demographic_sales_data[[#This Row],[Purchase_Date]],"YYYY-MM")</f>
        <v>2024-07</v>
      </c>
    </row>
    <row r="232" spans="1:13" x14ac:dyDescent="0.25">
      <c r="A232" t="s">
        <v>768</v>
      </c>
      <c r="B232" t="s">
        <v>769</v>
      </c>
      <c r="C232" t="s">
        <v>62</v>
      </c>
      <c r="D232">
        <v>62</v>
      </c>
      <c r="E232" t="s">
        <v>770</v>
      </c>
      <c r="F232" t="s">
        <v>102</v>
      </c>
      <c r="G232" t="s">
        <v>47</v>
      </c>
      <c r="H232">
        <v>10</v>
      </c>
      <c r="I232">
        <v>1627.64</v>
      </c>
      <c r="J232">
        <v>16276.4</v>
      </c>
      <c r="K232">
        <v>16.43</v>
      </c>
      <c r="L232" s="7">
        <v>45694</v>
      </c>
      <c r="M232" t="str">
        <f>TEXT(customer_demographic_sales_data[[#This Row],[Purchase_Date]],"YYYY-MM")</f>
        <v>2025-02</v>
      </c>
    </row>
    <row r="233" spans="1:13" x14ac:dyDescent="0.25">
      <c r="A233" t="s">
        <v>771</v>
      </c>
      <c r="B233" t="s">
        <v>772</v>
      </c>
      <c r="C233" t="s">
        <v>51</v>
      </c>
      <c r="D233">
        <v>61</v>
      </c>
      <c r="E233" t="s">
        <v>773</v>
      </c>
      <c r="F233" t="s">
        <v>58</v>
      </c>
      <c r="G233" t="s">
        <v>53</v>
      </c>
      <c r="H233">
        <v>4</v>
      </c>
      <c r="I233">
        <v>1940.7</v>
      </c>
      <c r="J233">
        <v>7762.8</v>
      </c>
      <c r="K233">
        <v>31.35</v>
      </c>
      <c r="L233" s="7">
        <v>45479</v>
      </c>
      <c r="M233" t="str">
        <f>TEXT(customer_demographic_sales_data[[#This Row],[Purchase_Date]],"YYYY-MM")</f>
        <v>2024-07</v>
      </c>
    </row>
    <row r="234" spans="1:13" x14ac:dyDescent="0.25">
      <c r="A234" t="s">
        <v>774</v>
      </c>
      <c r="B234" t="s">
        <v>775</v>
      </c>
      <c r="C234" t="s">
        <v>38</v>
      </c>
      <c r="D234">
        <v>32</v>
      </c>
      <c r="E234" t="s">
        <v>776</v>
      </c>
      <c r="F234" t="s">
        <v>40</v>
      </c>
      <c r="G234" t="s">
        <v>64</v>
      </c>
      <c r="H234">
        <v>9</v>
      </c>
      <c r="I234">
        <v>516.38</v>
      </c>
      <c r="J234">
        <v>4647.42</v>
      </c>
      <c r="K234">
        <v>27.13</v>
      </c>
      <c r="L234" s="7">
        <v>45892</v>
      </c>
      <c r="M234" t="str">
        <f>TEXT(customer_demographic_sales_data[[#This Row],[Purchase_Date]],"YYYY-MM")</f>
        <v>2025-08</v>
      </c>
    </row>
    <row r="235" spans="1:13" x14ac:dyDescent="0.25">
      <c r="A235" t="s">
        <v>777</v>
      </c>
      <c r="B235" t="s">
        <v>778</v>
      </c>
      <c r="C235" t="s">
        <v>38</v>
      </c>
      <c r="D235">
        <v>54</v>
      </c>
      <c r="E235" t="s">
        <v>779</v>
      </c>
      <c r="F235" t="s">
        <v>102</v>
      </c>
      <c r="G235" t="s">
        <v>73</v>
      </c>
      <c r="H235">
        <v>8</v>
      </c>
      <c r="I235">
        <v>950.28</v>
      </c>
      <c r="J235">
        <v>7602.24</v>
      </c>
      <c r="K235">
        <v>21.1</v>
      </c>
      <c r="L235" s="7">
        <v>45702</v>
      </c>
      <c r="M235" t="str">
        <f>TEXT(customer_demographic_sales_data[[#This Row],[Purchase_Date]],"YYYY-MM")</f>
        <v>2025-02</v>
      </c>
    </row>
    <row r="236" spans="1:13" x14ac:dyDescent="0.25">
      <c r="A236" t="s">
        <v>780</v>
      </c>
      <c r="B236" t="s">
        <v>781</v>
      </c>
      <c r="C236" t="s">
        <v>62</v>
      </c>
      <c r="D236">
        <v>28</v>
      </c>
      <c r="E236" t="s">
        <v>782</v>
      </c>
      <c r="F236" t="s">
        <v>58</v>
      </c>
      <c r="G236" t="s">
        <v>47</v>
      </c>
      <c r="H236">
        <v>4</v>
      </c>
      <c r="I236">
        <v>1612.46</v>
      </c>
      <c r="J236">
        <v>6449.84</v>
      </c>
      <c r="K236">
        <v>25.65</v>
      </c>
      <c r="L236" s="7">
        <v>45765</v>
      </c>
      <c r="M236" t="str">
        <f>TEXT(customer_demographic_sales_data[[#This Row],[Purchase_Date]],"YYYY-MM")</f>
        <v>2025-04</v>
      </c>
    </row>
    <row r="237" spans="1:13" x14ac:dyDescent="0.25">
      <c r="A237" t="s">
        <v>783</v>
      </c>
      <c r="B237" t="s">
        <v>784</v>
      </c>
      <c r="C237" t="s">
        <v>51</v>
      </c>
      <c r="D237">
        <v>41</v>
      </c>
      <c r="E237" t="s">
        <v>785</v>
      </c>
      <c r="F237" t="s">
        <v>46</v>
      </c>
      <c r="G237" t="s">
        <v>64</v>
      </c>
      <c r="H237">
        <v>9</v>
      </c>
      <c r="I237">
        <v>1871.87</v>
      </c>
      <c r="J237">
        <v>16846.830000000002</v>
      </c>
      <c r="K237">
        <v>3.36</v>
      </c>
      <c r="L237" s="7">
        <v>45614</v>
      </c>
      <c r="M237" t="str">
        <f>TEXT(customer_demographic_sales_data[[#This Row],[Purchase_Date]],"YYYY-MM")</f>
        <v>2024-11</v>
      </c>
    </row>
    <row r="238" spans="1:13" x14ac:dyDescent="0.25">
      <c r="A238" t="s">
        <v>786</v>
      </c>
      <c r="B238" t="s">
        <v>787</v>
      </c>
      <c r="C238" t="s">
        <v>51</v>
      </c>
      <c r="D238">
        <v>28</v>
      </c>
      <c r="E238" t="s">
        <v>788</v>
      </c>
      <c r="F238" t="s">
        <v>40</v>
      </c>
      <c r="G238" t="s">
        <v>188</v>
      </c>
      <c r="H238">
        <v>5</v>
      </c>
      <c r="I238">
        <v>926.17</v>
      </c>
      <c r="J238">
        <v>4630.8500000000004</v>
      </c>
      <c r="K238">
        <v>3.67</v>
      </c>
      <c r="L238" s="7">
        <v>45624</v>
      </c>
      <c r="M238" t="str">
        <f>TEXT(customer_demographic_sales_data[[#This Row],[Purchase_Date]],"YYYY-MM")</f>
        <v>2024-11</v>
      </c>
    </row>
    <row r="239" spans="1:13" x14ac:dyDescent="0.25">
      <c r="A239" t="s">
        <v>789</v>
      </c>
      <c r="B239" t="s">
        <v>790</v>
      </c>
      <c r="C239" t="s">
        <v>62</v>
      </c>
      <c r="D239">
        <v>32</v>
      </c>
      <c r="E239" t="s">
        <v>791</v>
      </c>
      <c r="F239" t="s">
        <v>102</v>
      </c>
      <c r="G239" t="s">
        <v>47</v>
      </c>
      <c r="H239">
        <v>8</v>
      </c>
      <c r="I239">
        <v>1775.03</v>
      </c>
      <c r="J239">
        <v>14200.24</v>
      </c>
      <c r="K239">
        <v>15.86</v>
      </c>
      <c r="L239" s="7">
        <v>45576</v>
      </c>
      <c r="M239" t="str">
        <f>TEXT(customer_demographic_sales_data[[#This Row],[Purchase_Date]],"YYYY-MM")</f>
        <v>2024-10</v>
      </c>
    </row>
    <row r="240" spans="1:13" x14ac:dyDescent="0.25">
      <c r="A240" t="s">
        <v>792</v>
      </c>
      <c r="B240" t="s">
        <v>793</v>
      </c>
      <c r="C240" t="s">
        <v>62</v>
      </c>
      <c r="D240">
        <v>41</v>
      </c>
      <c r="E240" t="s">
        <v>794</v>
      </c>
      <c r="F240" t="s">
        <v>58</v>
      </c>
      <c r="G240" t="s">
        <v>41</v>
      </c>
      <c r="H240">
        <v>4</v>
      </c>
      <c r="I240">
        <v>803.02</v>
      </c>
      <c r="J240">
        <v>3212.08</v>
      </c>
      <c r="K240">
        <v>1.1299999999999999</v>
      </c>
      <c r="L240" s="7">
        <v>45939</v>
      </c>
      <c r="M240" t="str">
        <f>TEXT(customer_demographic_sales_data[[#This Row],[Purchase_Date]],"YYYY-MM")</f>
        <v>2025-10</v>
      </c>
    </row>
    <row r="241" spans="1:13" x14ac:dyDescent="0.25">
      <c r="A241" t="s">
        <v>795</v>
      </c>
      <c r="B241" t="s">
        <v>796</v>
      </c>
      <c r="C241" t="s">
        <v>62</v>
      </c>
      <c r="D241">
        <v>24</v>
      </c>
      <c r="E241" t="s">
        <v>797</v>
      </c>
      <c r="F241" t="s">
        <v>46</v>
      </c>
      <c r="G241" t="s">
        <v>64</v>
      </c>
      <c r="H241">
        <v>6</v>
      </c>
      <c r="I241">
        <v>1593.19</v>
      </c>
      <c r="J241">
        <v>9559.14</v>
      </c>
      <c r="K241">
        <v>36.700000000000003</v>
      </c>
      <c r="L241" s="7">
        <v>46037</v>
      </c>
      <c r="M241" t="str">
        <f>TEXT(customer_demographic_sales_data[[#This Row],[Purchase_Date]],"YYYY-MM")</f>
        <v>2026-01</v>
      </c>
    </row>
    <row r="242" spans="1:13" x14ac:dyDescent="0.25">
      <c r="A242" t="s">
        <v>798</v>
      </c>
      <c r="B242" t="s">
        <v>799</v>
      </c>
      <c r="C242" t="s">
        <v>38</v>
      </c>
      <c r="D242">
        <v>48</v>
      </c>
      <c r="E242" t="s">
        <v>800</v>
      </c>
      <c r="F242" t="s">
        <v>102</v>
      </c>
      <c r="G242" t="s">
        <v>73</v>
      </c>
      <c r="H242">
        <v>3</v>
      </c>
      <c r="I242">
        <v>1529.74</v>
      </c>
      <c r="J242">
        <v>4589.22</v>
      </c>
      <c r="K242">
        <v>0.21</v>
      </c>
      <c r="L242" s="7">
        <v>45441</v>
      </c>
      <c r="M242" t="str">
        <f>TEXT(customer_demographic_sales_data[[#This Row],[Purchase_Date]],"YYYY-MM")</f>
        <v>2024-05</v>
      </c>
    </row>
    <row r="243" spans="1:13" x14ac:dyDescent="0.25">
      <c r="A243" t="s">
        <v>801</v>
      </c>
      <c r="B243" t="s">
        <v>802</v>
      </c>
      <c r="C243" t="s">
        <v>62</v>
      </c>
      <c r="D243">
        <v>23</v>
      </c>
      <c r="E243" t="s">
        <v>803</v>
      </c>
      <c r="F243" t="s">
        <v>102</v>
      </c>
      <c r="G243" t="s">
        <v>47</v>
      </c>
      <c r="H243">
        <v>1</v>
      </c>
      <c r="I243">
        <v>549.04999999999995</v>
      </c>
      <c r="J243">
        <v>549.04999999999995</v>
      </c>
      <c r="K243">
        <v>31.05</v>
      </c>
      <c r="L243" s="7">
        <v>45472</v>
      </c>
      <c r="M243" t="str">
        <f>TEXT(customer_demographic_sales_data[[#This Row],[Purchase_Date]],"YYYY-MM")</f>
        <v>2024-06</v>
      </c>
    </row>
    <row r="244" spans="1:13" x14ac:dyDescent="0.25">
      <c r="A244" t="s">
        <v>804</v>
      </c>
      <c r="B244" t="s">
        <v>805</v>
      </c>
      <c r="C244" t="s">
        <v>62</v>
      </c>
      <c r="D244">
        <v>33</v>
      </c>
      <c r="E244" t="s">
        <v>806</v>
      </c>
      <c r="F244" t="s">
        <v>102</v>
      </c>
      <c r="G244" t="s">
        <v>53</v>
      </c>
      <c r="H244">
        <v>5</v>
      </c>
      <c r="I244">
        <v>287.60000000000002</v>
      </c>
      <c r="J244">
        <v>1438</v>
      </c>
      <c r="K244">
        <v>31.76</v>
      </c>
      <c r="L244" s="7">
        <v>45478</v>
      </c>
      <c r="M244" t="str">
        <f>TEXT(customer_demographic_sales_data[[#This Row],[Purchase_Date]],"YYYY-MM")</f>
        <v>2024-07</v>
      </c>
    </row>
    <row r="245" spans="1:13" x14ac:dyDescent="0.25">
      <c r="A245" t="s">
        <v>807</v>
      </c>
      <c r="B245" t="s">
        <v>808</v>
      </c>
      <c r="C245" t="s">
        <v>38</v>
      </c>
      <c r="D245">
        <v>47</v>
      </c>
      <c r="E245" t="s">
        <v>809</v>
      </c>
      <c r="F245" t="s">
        <v>46</v>
      </c>
      <c r="G245" t="s">
        <v>53</v>
      </c>
      <c r="H245">
        <v>2</v>
      </c>
      <c r="I245">
        <v>266.17</v>
      </c>
      <c r="J245">
        <v>532.34</v>
      </c>
      <c r="K245">
        <v>20.62</v>
      </c>
      <c r="L245" s="7">
        <v>45520</v>
      </c>
      <c r="M245" t="str">
        <f>TEXT(customer_demographic_sales_data[[#This Row],[Purchase_Date]],"YYYY-MM")</f>
        <v>2024-08</v>
      </c>
    </row>
    <row r="246" spans="1:13" x14ac:dyDescent="0.25">
      <c r="A246" t="s">
        <v>810</v>
      </c>
      <c r="B246" t="s">
        <v>811</v>
      </c>
      <c r="C246" t="s">
        <v>62</v>
      </c>
      <c r="D246">
        <v>33</v>
      </c>
      <c r="E246" t="s">
        <v>812</v>
      </c>
      <c r="F246" t="s">
        <v>58</v>
      </c>
      <c r="G246" t="s">
        <v>41</v>
      </c>
      <c r="H246">
        <v>3</v>
      </c>
      <c r="I246">
        <v>617.98</v>
      </c>
      <c r="J246">
        <v>1853.94</v>
      </c>
      <c r="K246">
        <v>22.83</v>
      </c>
      <c r="L246" s="7">
        <v>45757</v>
      </c>
      <c r="M246" t="str">
        <f>TEXT(customer_demographic_sales_data[[#This Row],[Purchase_Date]],"YYYY-MM")</f>
        <v>2025-04</v>
      </c>
    </row>
    <row r="247" spans="1:13" x14ac:dyDescent="0.25">
      <c r="A247" t="s">
        <v>813</v>
      </c>
      <c r="B247" t="s">
        <v>814</v>
      </c>
      <c r="C247" t="s">
        <v>38</v>
      </c>
      <c r="D247">
        <v>29</v>
      </c>
      <c r="E247" t="s">
        <v>815</v>
      </c>
      <c r="F247" t="s">
        <v>46</v>
      </c>
      <c r="G247" t="s">
        <v>73</v>
      </c>
      <c r="H247">
        <v>2</v>
      </c>
      <c r="I247">
        <v>1070.79</v>
      </c>
      <c r="J247">
        <v>2141.58</v>
      </c>
      <c r="K247">
        <v>21.76</v>
      </c>
      <c r="L247" s="7">
        <v>45671</v>
      </c>
      <c r="M247" t="str">
        <f>TEXT(customer_demographic_sales_data[[#This Row],[Purchase_Date]],"YYYY-MM")</f>
        <v>2025-01</v>
      </c>
    </row>
    <row r="248" spans="1:13" x14ac:dyDescent="0.25">
      <c r="A248" t="s">
        <v>816</v>
      </c>
      <c r="B248" t="s">
        <v>817</v>
      </c>
      <c r="C248" t="s">
        <v>38</v>
      </c>
      <c r="D248">
        <v>68</v>
      </c>
      <c r="E248" t="s">
        <v>818</v>
      </c>
      <c r="F248" t="s">
        <v>102</v>
      </c>
      <c r="G248" t="s">
        <v>47</v>
      </c>
      <c r="H248">
        <v>9</v>
      </c>
      <c r="I248">
        <v>1130.5999999999999</v>
      </c>
      <c r="J248">
        <v>10175.4</v>
      </c>
      <c r="K248">
        <v>25.43</v>
      </c>
      <c r="L248" s="7">
        <v>45573</v>
      </c>
      <c r="M248" t="str">
        <f>TEXT(customer_demographic_sales_data[[#This Row],[Purchase_Date]],"YYYY-MM")</f>
        <v>2024-10</v>
      </c>
    </row>
    <row r="249" spans="1:13" x14ac:dyDescent="0.25">
      <c r="A249" t="s">
        <v>819</v>
      </c>
      <c r="B249" t="s">
        <v>820</v>
      </c>
      <c r="C249" t="s">
        <v>38</v>
      </c>
      <c r="D249">
        <v>41</v>
      </c>
      <c r="E249" t="s">
        <v>821</v>
      </c>
      <c r="F249" t="s">
        <v>46</v>
      </c>
      <c r="G249" t="s">
        <v>64</v>
      </c>
      <c r="H249">
        <v>5</v>
      </c>
      <c r="I249">
        <v>1507.27</v>
      </c>
      <c r="J249">
        <v>7536.35</v>
      </c>
      <c r="K249">
        <v>9.65</v>
      </c>
      <c r="L249" s="7">
        <v>45811</v>
      </c>
      <c r="M249" t="str">
        <f>TEXT(customer_demographic_sales_data[[#This Row],[Purchase_Date]],"YYYY-MM")</f>
        <v>2025-06</v>
      </c>
    </row>
    <row r="250" spans="1:13" x14ac:dyDescent="0.25">
      <c r="A250" t="s">
        <v>822</v>
      </c>
      <c r="B250" t="s">
        <v>823</v>
      </c>
      <c r="C250" t="s">
        <v>51</v>
      </c>
      <c r="D250">
        <v>60</v>
      </c>
      <c r="E250" t="s">
        <v>824</v>
      </c>
      <c r="F250" t="s">
        <v>58</v>
      </c>
      <c r="G250" t="s">
        <v>41</v>
      </c>
      <c r="H250">
        <v>2</v>
      </c>
      <c r="I250">
        <v>1554.43</v>
      </c>
      <c r="J250">
        <v>3108.86</v>
      </c>
      <c r="K250">
        <v>1.77</v>
      </c>
      <c r="L250" s="7">
        <v>46121</v>
      </c>
      <c r="M250" t="str">
        <f>TEXT(customer_demographic_sales_data[[#This Row],[Purchase_Date]],"YYYY-MM")</f>
        <v>2026-04</v>
      </c>
    </row>
    <row r="251" spans="1:13" x14ac:dyDescent="0.25">
      <c r="A251" t="s">
        <v>825</v>
      </c>
      <c r="B251" t="s">
        <v>826</v>
      </c>
      <c r="C251" t="s">
        <v>62</v>
      </c>
      <c r="D251">
        <v>52</v>
      </c>
      <c r="E251" t="s">
        <v>827</v>
      </c>
      <c r="F251" t="s">
        <v>102</v>
      </c>
      <c r="G251" t="s">
        <v>53</v>
      </c>
      <c r="H251">
        <v>6</v>
      </c>
      <c r="I251">
        <v>1636.34</v>
      </c>
      <c r="J251">
        <v>9818.0400000000009</v>
      </c>
      <c r="K251">
        <v>19.14</v>
      </c>
      <c r="L251" s="7">
        <v>45626</v>
      </c>
      <c r="M251" t="str">
        <f>TEXT(customer_demographic_sales_data[[#This Row],[Purchase_Date]],"YYYY-MM")</f>
        <v>2024-11</v>
      </c>
    </row>
    <row r="252" spans="1:13" x14ac:dyDescent="0.25">
      <c r="A252" t="s">
        <v>828</v>
      </c>
      <c r="B252" t="s">
        <v>829</v>
      </c>
      <c r="C252" t="s">
        <v>38</v>
      </c>
      <c r="D252">
        <v>29</v>
      </c>
      <c r="E252" t="s">
        <v>830</v>
      </c>
      <c r="F252" t="s">
        <v>46</v>
      </c>
      <c r="G252" t="s">
        <v>64</v>
      </c>
      <c r="H252">
        <v>3</v>
      </c>
      <c r="I252">
        <v>173.05</v>
      </c>
      <c r="J252">
        <v>519.15</v>
      </c>
      <c r="K252">
        <v>8.06</v>
      </c>
      <c r="L252" s="7">
        <v>45645</v>
      </c>
      <c r="M252" t="str">
        <f>TEXT(customer_demographic_sales_data[[#This Row],[Purchase_Date]],"YYYY-MM")</f>
        <v>2024-12</v>
      </c>
    </row>
    <row r="253" spans="1:13" x14ac:dyDescent="0.25">
      <c r="A253" t="s">
        <v>831</v>
      </c>
      <c r="B253" t="s">
        <v>832</v>
      </c>
      <c r="C253" t="s">
        <v>38</v>
      </c>
      <c r="D253">
        <v>68</v>
      </c>
      <c r="E253" t="s">
        <v>833</v>
      </c>
      <c r="F253" t="s">
        <v>58</v>
      </c>
      <c r="G253" t="s">
        <v>73</v>
      </c>
      <c r="H253">
        <v>4</v>
      </c>
      <c r="I253">
        <v>1777.29</v>
      </c>
      <c r="J253">
        <v>7109.16</v>
      </c>
      <c r="K253">
        <v>15.93</v>
      </c>
      <c r="L253" s="7">
        <v>45955</v>
      </c>
      <c r="M253" t="str">
        <f>TEXT(customer_demographic_sales_data[[#This Row],[Purchase_Date]],"YYYY-MM")</f>
        <v>2025-10</v>
      </c>
    </row>
    <row r="254" spans="1:13" x14ac:dyDescent="0.25">
      <c r="A254" t="s">
        <v>834</v>
      </c>
      <c r="B254" t="s">
        <v>835</v>
      </c>
      <c r="C254" t="s">
        <v>62</v>
      </c>
      <c r="D254">
        <v>70</v>
      </c>
      <c r="E254" t="s">
        <v>836</v>
      </c>
      <c r="F254" t="s">
        <v>40</v>
      </c>
      <c r="G254" t="s">
        <v>64</v>
      </c>
      <c r="H254">
        <v>9</v>
      </c>
      <c r="I254">
        <v>973.13</v>
      </c>
      <c r="J254">
        <v>8758.17</v>
      </c>
      <c r="K254">
        <v>14.28</v>
      </c>
      <c r="L254" s="7">
        <v>45663</v>
      </c>
      <c r="M254" t="str">
        <f>TEXT(customer_demographic_sales_data[[#This Row],[Purchase_Date]],"YYYY-MM")</f>
        <v>2025-01</v>
      </c>
    </row>
    <row r="255" spans="1:13" x14ac:dyDescent="0.25">
      <c r="A255" t="s">
        <v>837</v>
      </c>
      <c r="B255" t="s">
        <v>838</v>
      </c>
      <c r="C255" t="s">
        <v>38</v>
      </c>
      <c r="D255">
        <v>67</v>
      </c>
      <c r="E255" t="s">
        <v>839</v>
      </c>
      <c r="F255" t="s">
        <v>58</v>
      </c>
      <c r="G255" t="s">
        <v>47</v>
      </c>
      <c r="H255">
        <v>1</v>
      </c>
      <c r="I255">
        <v>1738.31</v>
      </c>
      <c r="J255">
        <v>1738.31</v>
      </c>
      <c r="K255">
        <v>31.97</v>
      </c>
      <c r="L255" s="7">
        <v>46011</v>
      </c>
      <c r="M255" t="str">
        <f>TEXT(customer_demographic_sales_data[[#This Row],[Purchase_Date]],"YYYY-MM")</f>
        <v>2025-12</v>
      </c>
    </row>
    <row r="256" spans="1:13" x14ac:dyDescent="0.25">
      <c r="A256" t="s">
        <v>840</v>
      </c>
      <c r="B256" t="s">
        <v>841</v>
      </c>
      <c r="C256" t="s">
        <v>38</v>
      </c>
      <c r="D256">
        <v>45</v>
      </c>
      <c r="E256" t="s">
        <v>842</v>
      </c>
      <c r="F256" t="s">
        <v>58</v>
      </c>
      <c r="G256" t="s">
        <v>41</v>
      </c>
      <c r="H256">
        <v>7</v>
      </c>
      <c r="I256">
        <v>1499.45</v>
      </c>
      <c r="J256">
        <v>10496.15</v>
      </c>
      <c r="K256">
        <v>19.850000000000001</v>
      </c>
      <c r="L256" s="7">
        <v>45613</v>
      </c>
      <c r="M256" t="str">
        <f>TEXT(customer_demographic_sales_data[[#This Row],[Purchase_Date]],"YYYY-MM")</f>
        <v>2024-11</v>
      </c>
    </row>
    <row r="257" spans="1:13" x14ac:dyDescent="0.25">
      <c r="A257" t="s">
        <v>843</v>
      </c>
      <c r="B257" t="s">
        <v>844</v>
      </c>
      <c r="C257" t="s">
        <v>51</v>
      </c>
      <c r="D257">
        <v>49</v>
      </c>
      <c r="E257" t="s">
        <v>845</v>
      </c>
      <c r="F257" t="s">
        <v>58</v>
      </c>
      <c r="G257" t="s">
        <v>47</v>
      </c>
      <c r="H257">
        <v>6</v>
      </c>
      <c r="I257">
        <v>1852.41</v>
      </c>
      <c r="J257">
        <v>11114.46</v>
      </c>
      <c r="K257">
        <v>29.08</v>
      </c>
      <c r="L257" s="7">
        <v>46052</v>
      </c>
      <c r="M257" t="str">
        <f>TEXT(customer_demographic_sales_data[[#This Row],[Purchase_Date]],"YYYY-MM")</f>
        <v>2026-01</v>
      </c>
    </row>
    <row r="258" spans="1:13" x14ac:dyDescent="0.25">
      <c r="A258" t="s">
        <v>846</v>
      </c>
      <c r="B258" t="s">
        <v>847</v>
      </c>
      <c r="C258" t="s">
        <v>62</v>
      </c>
      <c r="D258">
        <v>23</v>
      </c>
      <c r="E258" t="s">
        <v>848</v>
      </c>
      <c r="F258" t="s">
        <v>58</v>
      </c>
      <c r="G258" t="s">
        <v>64</v>
      </c>
      <c r="H258">
        <v>7</v>
      </c>
      <c r="I258">
        <v>1224.78</v>
      </c>
      <c r="J258">
        <v>8573.4599999999991</v>
      </c>
      <c r="K258">
        <v>4.0999999999999996</v>
      </c>
      <c r="L258" s="7">
        <v>45783</v>
      </c>
      <c r="M258" t="str">
        <f>TEXT(customer_demographic_sales_data[[#This Row],[Purchase_Date]],"YYYY-MM")</f>
        <v>2025-05</v>
      </c>
    </row>
    <row r="259" spans="1:13" x14ac:dyDescent="0.25">
      <c r="A259" t="s">
        <v>849</v>
      </c>
      <c r="B259" t="s">
        <v>850</v>
      </c>
      <c r="C259" t="s">
        <v>51</v>
      </c>
      <c r="D259">
        <v>38</v>
      </c>
      <c r="E259" t="s">
        <v>851</v>
      </c>
      <c r="F259" t="s">
        <v>102</v>
      </c>
      <c r="G259" t="s">
        <v>41</v>
      </c>
      <c r="H259">
        <v>5</v>
      </c>
      <c r="I259">
        <v>647.66999999999996</v>
      </c>
      <c r="J259">
        <v>3238.35</v>
      </c>
      <c r="K259">
        <v>27.59</v>
      </c>
      <c r="L259" s="7">
        <v>45458</v>
      </c>
      <c r="M259" t="str">
        <f>TEXT(customer_demographic_sales_data[[#This Row],[Purchase_Date]],"YYYY-MM")</f>
        <v>2024-06</v>
      </c>
    </row>
    <row r="260" spans="1:13" x14ac:dyDescent="0.25">
      <c r="A260" t="s">
        <v>852</v>
      </c>
      <c r="B260" t="s">
        <v>853</v>
      </c>
      <c r="C260" t="s">
        <v>38</v>
      </c>
      <c r="D260">
        <v>40</v>
      </c>
      <c r="E260" t="s">
        <v>854</v>
      </c>
      <c r="F260" t="s">
        <v>102</v>
      </c>
      <c r="G260" t="s">
        <v>64</v>
      </c>
      <c r="H260">
        <v>8</v>
      </c>
      <c r="I260">
        <v>132.59</v>
      </c>
      <c r="J260">
        <v>1060.72</v>
      </c>
      <c r="K260">
        <v>25.58</v>
      </c>
      <c r="L260" s="7">
        <v>46079</v>
      </c>
      <c r="M260" t="str">
        <f>TEXT(customer_demographic_sales_data[[#This Row],[Purchase_Date]],"YYYY-MM")</f>
        <v>2026-02</v>
      </c>
    </row>
    <row r="261" spans="1:13" x14ac:dyDescent="0.25">
      <c r="A261" t="s">
        <v>855</v>
      </c>
      <c r="B261" t="s">
        <v>856</v>
      </c>
      <c r="C261" t="s">
        <v>51</v>
      </c>
      <c r="D261">
        <v>68</v>
      </c>
      <c r="E261" t="s">
        <v>857</v>
      </c>
      <c r="F261" t="s">
        <v>102</v>
      </c>
      <c r="G261" t="s">
        <v>64</v>
      </c>
      <c r="H261">
        <v>1</v>
      </c>
      <c r="I261">
        <v>196.33</v>
      </c>
      <c r="J261">
        <v>196.33</v>
      </c>
      <c r="K261">
        <v>20.52</v>
      </c>
      <c r="L261" s="7">
        <v>45456</v>
      </c>
      <c r="M261" t="str">
        <f>TEXT(customer_demographic_sales_data[[#This Row],[Purchase_Date]],"YYYY-MM")</f>
        <v>2024-06</v>
      </c>
    </row>
    <row r="262" spans="1:13" x14ac:dyDescent="0.25">
      <c r="A262" t="s">
        <v>858</v>
      </c>
      <c r="B262" t="s">
        <v>859</v>
      </c>
      <c r="C262" t="s">
        <v>62</v>
      </c>
      <c r="D262">
        <v>65</v>
      </c>
      <c r="E262" t="s">
        <v>860</v>
      </c>
      <c r="F262" t="s">
        <v>102</v>
      </c>
      <c r="G262" t="s">
        <v>47</v>
      </c>
      <c r="H262">
        <v>3</v>
      </c>
      <c r="I262">
        <v>1907.94</v>
      </c>
      <c r="J262">
        <v>5723.82</v>
      </c>
      <c r="K262">
        <v>5.05</v>
      </c>
      <c r="L262" s="7">
        <v>45770</v>
      </c>
      <c r="M262" t="str">
        <f>TEXT(customer_demographic_sales_data[[#This Row],[Purchase_Date]],"YYYY-MM")</f>
        <v>2025-04</v>
      </c>
    </row>
    <row r="263" spans="1:13" x14ac:dyDescent="0.25">
      <c r="A263" t="s">
        <v>861</v>
      </c>
      <c r="B263" t="s">
        <v>862</v>
      </c>
      <c r="C263" t="s">
        <v>51</v>
      </c>
      <c r="D263">
        <v>33</v>
      </c>
      <c r="E263" t="s">
        <v>863</v>
      </c>
      <c r="F263" t="s">
        <v>46</v>
      </c>
      <c r="G263" t="s">
        <v>73</v>
      </c>
      <c r="H263">
        <v>6</v>
      </c>
      <c r="I263">
        <v>756.19</v>
      </c>
      <c r="J263">
        <v>4537.1400000000003</v>
      </c>
      <c r="K263">
        <v>6.14</v>
      </c>
      <c r="L263" s="7">
        <v>45710</v>
      </c>
      <c r="M263" t="str">
        <f>TEXT(customer_demographic_sales_data[[#This Row],[Purchase_Date]],"YYYY-MM")</f>
        <v>2025-02</v>
      </c>
    </row>
    <row r="264" spans="1:13" x14ac:dyDescent="0.25">
      <c r="A264" t="s">
        <v>864</v>
      </c>
      <c r="B264" t="s">
        <v>865</v>
      </c>
      <c r="C264" t="s">
        <v>62</v>
      </c>
      <c r="D264">
        <v>46</v>
      </c>
      <c r="E264" t="s">
        <v>866</v>
      </c>
      <c r="F264" t="s">
        <v>40</v>
      </c>
      <c r="G264" t="s">
        <v>73</v>
      </c>
      <c r="H264">
        <v>6</v>
      </c>
      <c r="I264">
        <v>775.43</v>
      </c>
      <c r="J264">
        <v>4652.58</v>
      </c>
      <c r="K264">
        <v>14.68</v>
      </c>
      <c r="L264" s="7">
        <v>45732</v>
      </c>
      <c r="M264" t="str">
        <f>TEXT(customer_demographic_sales_data[[#This Row],[Purchase_Date]],"YYYY-MM")</f>
        <v>2025-03</v>
      </c>
    </row>
    <row r="265" spans="1:13" x14ac:dyDescent="0.25">
      <c r="A265" t="s">
        <v>867</v>
      </c>
      <c r="B265" t="s">
        <v>868</v>
      </c>
      <c r="C265" t="s">
        <v>62</v>
      </c>
      <c r="D265">
        <v>38</v>
      </c>
      <c r="E265" t="s">
        <v>869</v>
      </c>
      <c r="F265" t="s">
        <v>46</v>
      </c>
      <c r="G265" t="s">
        <v>53</v>
      </c>
      <c r="H265">
        <v>5</v>
      </c>
      <c r="I265">
        <v>536.74</v>
      </c>
      <c r="J265">
        <v>2683.7</v>
      </c>
      <c r="K265">
        <v>7.44</v>
      </c>
      <c r="L265" s="7">
        <v>45775</v>
      </c>
      <c r="M265" t="str">
        <f>TEXT(customer_demographic_sales_data[[#This Row],[Purchase_Date]],"YYYY-MM")</f>
        <v>2025-04</v>
      </c>
    </row>
    <row r="266" spans="1:13" x14ac:dyDescent="0.25">
      <c r="A266" t="s">
        <v>870</v>
      </c>
      <c r="B266" t="s">
        <v>871</v>
      </c>
      <c r="C266" t="s">
        <v>62</v>
      </c>
      <c r="D266">
        <v>51</v>
      </c>
      <c r="E266" t="s">
        <v>872</v>
      </c>
      <c r="F266" t="s">
        <v>58</v>
      </c>
      <c r="G266" t="s">
        <v>64</v>
      </c>
      <c r="H266">
        <v>7</v>
      </c>
      <c r="I266">
        <v>1831.41</v>
      </c>
      <c r="J266">
        <v>12819.87</v>
      </c>
      <c r="K266">
        <v>28.16</v>
      </c>
      <c r="L266" s="7">
        <v>45882</v>
      </c>
      <c r="M266" t="str">
        <f>TEXT(customer_demographic_sales_data[[#This Row],[Purchase_Date]],"YYYY-MM")</f>
        <v>2025-08</v>
      </c>
    </row>
    <row r="267" spans="1:13" x14ac:dyDescent="0.25">
      <c r="A267" t="s">
        <v>873</v>
      </c>
      <c r="B267" t="s">
        <v>874</v>
      </c>
      <c r="C267" t="s">
        <v>38</v>
      </c>
      <c r="D267">
        <v>31</v>
      </c>
      <c r="E267" t="s">
        <v>875</v>
      </c>
      <c r="F267" t="s">
        <v>40</v>
      </c>
      <c r="G267" t="s">
        <v>47</v>
      </c>
      <c r="H267">
        <v>10</v>
      </c>
      <c r="I267">
        <v>606.87</v>
      </c>
      <c r="J267">
        <v>6068.7</v>
      </c>
      <c r="K267">
        <v>5.43</v>
      </c>
      <c r="L267" s="7">
        <v>45707</v>
      </c>
      <c r="M267" t="str">
        <f>TEXT(customer_demographic_sales_data[[#This Row],[Purchase_Date]],"YYYY-MM")</f>
        <v>2025-02</v>
      </c>
    </row>
    <row r="268" spans="1:13" x14ac:dyDescent="0.25">
      <c r="A268" t="s">
        <v>876</v>
      </c>
      <c r="B268" t="s">
        <v>877</v>
      </c>
      <c r="C268" t="s">
        <v>51</v>
      </c>
      <c r="D268">
        <v>22</v>
      </c>
      <c r="E268" t="s">
        <v>878</v>
      </c>
      <c r="F268" t="s">
        <v>102</v>
      </c>
      <c r="G268" t="s">
        <v>47</v>
      </c>
      <c r="H268">
        <v>8</v>
      </c>
      <c r="I268">
        <v>386.68</v>
      </c>
      <c r="J268">
        <v>3093.44</v>
      </c>
      <c r="K268">
        <v>32.42</v>
      </c>
      <c r="L268" s="7">
        <v>45884</v>
      </c>
      <c r="M268" t="str">
        <f>TEXT(customer_demographic_sales_data[[#This Row],[Purchase_Date]],"YYYY-MM")</f>
        <v>2025-08</v>
      </c>
    </row>
    <row r="269" spans="1:13" x14ac:dyDescent="0.25">
      <c r="A269" t="s">
        <v>879</v>
      </c>
      <c r="B269" t="s">
        <v>880</v>
      </c>
      <c r="C269" t="s">
        <v>51</v>
      </c>
      <c r="D269">
        <v>38</v>
      </c>
      <c r="E269" t="s">
        <v>881</v>
      </c>
      <c r="F269" t="s">
        <v>58</v>
      </c>
      <c r="G269" t="s">
        <v>64</v>
      </c>
      <c r="H269">
        <v>6</v>
      </c>
      <c r="I269">
        <v>1433.6</v>
      </c>
      <c r="J269">
        <v>8601.6</v>
      </c>
      <c r="K269">
        <v>34.049999999999997</v>
      </c>
      <c r="L269" s="7">
        <v>45794</v>
      </c>
      <c r="M269" t="str">
        <f>TEXT(customer_demographic_sales_data[[#This Row],[Purchase_Date]],"YYYY-MM")</f>
        <v>2025-05</v>
      </c>
    </row>
    <row r="270" spans="1:13" x14ac:dyDescent="0.25">
      <c r="A270" t="s">
        <v>882</v>
      </c>
      <c r="B270" t="s">
        <v>883</v>
      </c>
      <c r="C270" t="s">
        <v>51</v>
      </c>
      <c r="D270">
        <v>63</v>
      </c>
      <c r="E270" t="s">
        <v>884</v>
      </c>
      <c r="F270" t="s">
        <v>40</v>
      </c>
      <c r="G270" t="s">
        <v>47</v>
      </c>
      <c r="H270">
        <v>3</v>
      </c>
      <c r="I270">
        <v>1597.71</v>
      </c>
      <c r="J270">
        <v>4793.13</v>
      </c>
      <c r="K270">
        <v>39.409999999999997</v>
      </c>
      <c r="L270" s="7">
        <v>45445</v>
      </c>
      <c r="M270" t="str">
        <f>TEXT(customer_demographic_sales_data[[#This Row],[Purchase_Date]],"YYYY-MM")</f>
        <v>2024-06</v>
      </c>
    </row>
    <row r="271" spans="1:13" x14ac:dyDescent="0.25">
      <c r="A271" t="s">
        <v>885</v>
      </c>
      <c r="B271" t="s">
        <v>886</v>
      </c>
      <c r="C271" t="s">
        <v>38</v>
      </c>
      <c r="D271">
        <v>68</v>
      </c>
      <c r="E271" t="s">
        <v>887</v>
      </c>
      <c r="F271" t="s">
        <v>46</v>
      </c>
      <c r="G271" t="s">
        <v>64</v>
      </c>
      <c r="H271">
        <v>3</v>
      </c>
      <c r="I271">
        <v>511.64</v>
      </c>
      <c r="J271">
        <v>1534.92</v>
      </c>
      <c r="K271">
        <v>22.16</v>
      </c>
      <c r="L271" s="7">
        <v>45741</v>
      </c>
      <c r="M271" t="str">
        <f>TEXT(customer_demographic_sales_data[[#This Row],[Purchase_Date]],"YYYY-MM")</f>
        <v>2025-03</v>
      </c>
    </row>
    <row r="272" spans="1:13" x14ac:dyDescent="0.25">
      <c r="A272" t="s">
        <v>888</v>
      </c>
      <c r="B272" t="s">
        <v>889</v>
      </c>
      <c r="C272" t="s">
        <v>51</v>
      </c>
      <c r="D272">
        <v>41</v>
      </c>
      <c r="E272" t="s">
        <v>890</v>
      </c>
      <c r="F272" t="s">
        <v>40</v>
      </c>
      <c r="G272" t="s">
        <v>73</v>
      </c>
      <c r="H272">
        <v>8</v>
      </c>
      <c r="I272">
        <v>1617.14</v>
      </c>
      <c r="J272">
        <v>12937.12</v>
      </c>
      <c r="K272">
        <v>35.369999999999997</v>
      </c>
      <c r="L272" s="7">
        <v>45969</v>
      </c>
      <c r="M272" t="str">
        <f>TEXT(customer_demographic_sales_data[[#This Row],[Purchase_Date]],"YYYY-MM")</f>
        <v>2025-11</v>
      </c>
    </row>
    <row r="273" spans="1:13" x14ac:dyDescent="0.25">
      <c r="A273" t="s">
        <v>891</v>
      </c>
      <c r="B273" t="s">
        <v>892</v>
      </c>
      <c r="C273" t="s">
        <v>51</v>
      </c>
      <c r="D273">
        <v>22</v>
      </c>
      <c r="E273" t="s">
        <v>893</v>
      </c>
      <c r="F273" t="s">
        <v>102</v>
      </c>
      <c r="G273" t="s">
        <v>73</v>
      </c>
      <c r="H273">
        <v>5</v>
      </c>
      <c r="I273">
        <v>826.41</v>
      </c>
      <c r="J273">
        <v>4132.05</v>
      </c>
      <c r="K273">
        <v>16.43</v>
      </c>
      <c r="L273" s="7">
        <v>45555</v>
      </c>
      <c r="M273" t="str">
        <f>TEXT(customer_demographic_sales_data[[#This Row],[Purchase_Date]],"YYYY-MM")</f>
        <v>2024-09</v>
      </c>
    </row>
    <row r="274" spans="1:13" x14ac:dyDescent="0.25">
      <c r="A274" t="s">
        <v>894</v>
      </c>
      <c r="B274" t="s">
        <v>895</v>
      </c>
      <c r="C274" t="s">
        <v>38</v>
      </c>
      <c r="D274">
        <v>44</v>
      </c>
      <c r="E274" t="s">
        <v>896</v>
      </c>
      <c r="F274" t="s">
        <v>46</v>
      </c>
      <c r="G274" t="s">
        <v>188</v>
      </c>
      <c r="H274">
        <v>10</v>
      </c>
      <c r="I274">
        <v>193.81</v>
      </c>
      <c r="J274">
        <v>1938.1</v>
      </c>
      <c r="K274">
        <v>18.63</v>
      </c>
      <c r="L274" s="7">
        <v>45612</v>
      </c>
      <c r="M274" t="str">
        <f>TEXT(customer_demographic_sales_data[[#This Row],[Purchase_Date]],"YYYY-MM")</f>
        <v>2024-11</v>
      </c>
    </row>
    <row r="275" spans="1:13" x14ac:dyDescent="0.25">
      <c r="A275" t="s">
        <v>897</v>
      </c>
      <c r="B275" t="s">
        <v>898</v>
      </c>
      <c r="C275" t="s">
        <v>51</v>
      </c>
      <c r="D275">
        <v>51</v>
      </c>
      <c r="E275" t="s">
        <v>899</v>
      </c>
      <c r="F275" t="s">
        <v>40</v>
      </c>
      <c r="G275" t="s">
        <v>41</v>
      </c>
      <c r="H275">
        <v>6</v>
      </c>
      <c r="I275">
        <v>300.25</v>
      </c>
      <c r="J275">
        <v>1801.5</v>
      </c>
      <c r="K275">
        <v>17.3</v>
      </c>
      <c r="L275" s="7">
        <v>45957</v>
      </c>
      <c r="M275" t="str">
        <f>TEXT(customer_demographic_sales_data[[#This Row],[Purchase_Date]],"YYYY-MM")</f>
        <v>2025-10</v>
      </c>
    </row>
    <row r="276" spans="1:13" x14ac:dyDescent="0.25">
      <c r="A276" t="s">
        <v>900</v>
      </c>
      <c r="B276" t="s">
        <v>901</v>
      </c>
      <c r="C276" t="s">
        <v>38</v>
      </c>
      <c r="D276">
        <v>21</v>
      </c>
      <c r="E276" t="s">
        <v>902</v>
      </c>
      <c r="F276" t="s">
        <v>40</v>
      </c>
      <c r="G276" t="s">
        <v>41</v>
      </c>
      <c r="H276">
        <v>2</v>
      </c>
      <c r="I276">
        <v>1060.3</v>
      </c>
      <c r="J276">
        <v>2120.6</v>
      </c>
      <c r="K276">
        <v>12.91</v>
      </c>
      <c r="L276" s="7">
        <v>45946</v>
      </c>
      <c r="M276" t="str">
        <f>TEXT(customer_demographic_sales_data[[#This Row],[Purchase_Date]],"YYYY-MM")</f>
        <v>2025-10</v>
      </c>
    </row>
    <row r="277" spans="1:13" x14ac:dyDescent="0.25">
      <c r="A277" t="s">
        <v>903</v>
      </c>
      <c r="B277" t="s">
        <v>904</v>
      </c>
      <c r="C277" t="s">
        <v>51</v>
      </c>
      <c r="D277">
        <v>63</v>
      </c>
      <c r="E277" t="s">
        <v>905</v>
      </c>
      <c r="F277" t="s">
        <v>58</v>
      </c>
      <c r="G277" t="s">
        <v>47</v>
      </c>
      <c r="H277">
        <v>4</v>
      </c>
      <c r="I277">
        <v>724.75</v>
      </c>
      <c r="J277">
        <v>2899</v>
      </c>
      <c r="K277">
        <v>10.02</v>
      </c>
      <c r="L277" s="7">
        <v>45646</v>
      </c>
      <c r="M277" t="str">
        <f>TEXT(customer_demographic_sales_data[[#This Row],[Purchase_Date]],"YYYY-MM")</f>
        <v>2024-12</v>
      </c>
    </row>
    <row r="278" spans="1:13" x14ac:dyDescent="0.25">
      <c r="A278" t="s">
        <v>906</v>
      </c>
      <c r="B278" t="s">
        <v>907</v>
      </c>
      <c r="C278" t="s">
        <v>51</v>
      </c>
      <c r="D278">
        <v>58</v>
      </c>
      <c r="E278" t="s">
        <v>908</v>
      </c>
      <c r="F278" t="s">
        <v>58</v>
      </c>
      <c r="G278" t="s">
        <v>73</v>
      </c>
      <c r="H278">
        <v>9</v>
      </c>
      <c r="I278">
        <v>585.17999999999995</v>
      </c>
      <c r="J278">
        <v>5266.62</v>
      </c>
      <c r="K278">
        <v>21.34</v>
      </c>
      <c r="L278" s="7">
        <v>45587</v>
      </c>
      <c r="M278" t="str">
        <f>TEXT(customer_demographic_sales_data[[#This Row],[Purchase_Date]],"YYYY-MM")</f>
        <v>2024-10</v>
      </c>
    </row>
    <row r="279" spans="1:13" x14ac:dyDescent="0.25">
      <c r="A279" t="s">
        <v>909</v>
      </c>
      <c r="B279" t="s">
        <v>910</v>
      </c>
      <c r="C279" t="s">
        <v>51</v>
      </c>
      <c r="D279">
        <v>50</v>
      </c>
      <c r="E279" t="s">
        <v>911</v>
      </c>
      <c r="F279" t="s">
        <v>40</v>
      </c>
      <c r="G279" t="s">
        <v>41</v>
      </c>
      <c r="H279">
        <v>3</v>
      </c>
      <c r="I279">
        <v>1204.03</v>
      </c>
      <c r="J279">
        <v>3612.09</v>
      </c>
      <c r="K279">
        <v>26.35</v>
      </c>
      <c r="L279" s="7">
        <v>45606</v>
      </c>
      <c r="M279" t="str">
        <f>TEXT(customer_demographic_sales_data[[#This Row],[Purchase_Date]],"YYYY-MM")</f>
        <v>2024-11</v>
      </c>
    </row>
    <row r="280" spans="1:13" x14ac:dyDescent="0.25">
      <c r="A280" t="s">
        <v>912</v>
      </c>
      <c r="B280" t="s">
        <v>913</v>
      </c>
      <c r="C280" t="s">
        <v>51</v>
      </c>
      <c r="D280">
        <v>64</v>
      </c>
      <c r="E280" t="s">
        <v>914</v>
      </c>
      <c r="F280" t="s">
        <v>46</v>
      </c>
      <c r="G280" t="s">
        <v>47</v>
      </c>
      <c r="H280">
        <v>10</v>
      </c>
      <c r="I280">
        <v>708.36</v>
      </c>
      <c r="J280">
        <v>7083.6</v>
      </c>
      <c r="K280">
        <v>3.25</v>
      </c>
      <c r="L280" s="7">
        <v>45677</v>
      </c>
      <c r="M280" t="str">
        <f>TEXT(customer_demographic_sales_data[[#This Row],[Purchase_Date]],"YYYY-MM")</f>
        <v>2025-01</v>
      </c>
    </row>
    <row r="281" spans="1:13" x14ac:dyDescent="0.25">
      <c r="A281" t="s">
        <v>915</v>
      </c>
      <c r="B281" t="s">
        <v>916</v>
      </c>
      <c r="C281" t="s">
        <v>62</v>
      </c>
      <c r="D281">
        <v>59</v>
      </c>
      <c r="E281" t="s">
        <v>917</v>
      </c>
      <c r="F281" t="s">
        <v>102</v>
      </c>
      <c r="G281" t="s">
        <v>73</v>
      </c>
      <c r="H281">
        <v>10</v>
      </c>
      <c r="I281">
        <v>566.08000000000004</v>
      </c>
      <c r="J281">
        <v>5660.8</v>
      </c>
      <c r="K281">
        <v>25.56</v>
      </c>
      <c r="L281" s="7">
        <v>45737</v>
      </c>
      <c r="M281" t="str">
        <f>TEXT(customer_demographic_sales_data[[#This Row],[Purchase_Date]],"YYYY-MM")</f>
        <v>2025-03</v>
      </c>
    </row>
    <row r="282" spans="1:13" x14ac:dyDescent="0.25">
      <c r="A282" t="s">
        <v>918</v>
      </c>
      <c r="B282" t="s">
        <v>919</v>
      </c>
      <c r="C282" t="s">
        <v>38</v>
      </c>
      <c r="D282">
        <v>49</v>
      </c>
      <c r="E282" t="s">
        <v>920</v>
      </c>
      <c r="F282" t="s">
        <v>102</v>
      </c>
      <c r="G282" t="s">
        <v>41</v>
      </c>
      <c r="H282">
        <v>9</v>
      </c>
      <c r="I282">
        <v>614.86</v>
      </c>
      <c r="J282">
        <v>5533.74</v>
      </c>
      <c r="K282">
        <v>32.19</v>
      </c>
      <c r="L282" s="7">
        <v>45670</v>
      </c>
      <c r="M282" t="str">
        <f>TEXT(customer_demographic_sales_data[[#This Row],[Purchase_Date]],"YYYY-MM")</f>
        <v>2025-01</v>
      </c>
    </row>
    <row r="283" spans="1:13" x14ac:dyDescent="0.25">
      <c r="A283" t="s">
        <v>921</v>
      </c>
      <c r="B283" t="s">
        <v>922</v>
      </c>
      <c r="C283" t="s">
        <v>62</v>
      </c>
      <c r="D283">
        <v>61</v>
      </c>
      <c r="E283" t="s">
        <v>923</v>
      </c>
      <c r="F283" t="s">
        <v>46</v>
      </c>
      <c r="G283" t="s">
        <v>41</v>
      </c>
      <c r="H283">
        <v>7</v>
      </c>
      <c r="I283">
        <v>630</v>
      </c>
      <c r="J283">
        <v>4410</v>
      </c>
      <c r="K283">
        <v>17.579999999999998</v>
      </c>
      <c r="L283" s="7">
        <v>46081</v>
      </c>
      <c r="M283" t="str">
        <f>TEXT(customer_demographic_sales_data[[#This Row],[Purchase_Date]],"YYYY-MM")</f>
        <v>2026-02</v>
      </c>
    </row>
    <row r="284" spans="1:13" x14ac:dyDescent="0.25">
      <c r="A284" t="s">
        <v>924</v>
      </c>
      <c r="B284" t="s">
        <v>925</v>
      </c>
      <c r="C284" t="s">
        <v>51</v>
      </c>
      <c r="D284">
        <v>48</v>
      </c>
      <c r="E284" t="s">
        <v>926</v>
      </c>
      <c r="F284" t="s">
        <v>40</v>
      </c>
      <c r="G284" t="s">
        <v>64</v>
      </c>
      <c r="H284">
        <v>8</v>
      </c>
      <c r="I284">
        <v>447.84</v>
      </c>
      <c r="J284">
        <v>3582.72</v>
      </c>
      <c r="K284">
        <v>34.46</v>
      </c>
      <c r="L284" s="7">
        <v>45729</v>
      </c>
      <c r="M284" t="str">
        <f>TEXT(customer_demographic_sales_data[[#This Row],[Purchase_Date]],"YYYY-MM")</f>
        <v>2025-03</v>
      </c>
    </row>
    <row r="285" spans="1:13" x14ac:dyDescent="0.25">
      <c r="A285" t="s">
        <v>927</v>
      </c>
      <c r="B285" t="s">
        <v>928</v>
      </c>
      <c r="C285" t="s">
        <v>62</v>
      </c>
      <c r="D285">
        <v>38</v>
      </c>
      <c r="E285" t="s">
        <v>929</v>
      </c>
      <c r="F285" t="s">
        <v>58</v>
      </c>
      <c r="G285" t="s">
        <v>73</v>
      </c>
      <c r="H285">
        <v>6</v>
      </c>
      <c r="I285">
        <v>1951.98</v>
      </c>
      <c r="J285">
        <v>11711.88</v>
      </c>
      <c r="K285">
        <v>22.47</v>
      </c>
      <c r="L285" s="7">
        <v>45652</v>
      </c>
      <c r="M285" t="str">
        <f>TEXT(customer_demographic_sales_data[[#This Row],[Purchase_Date]],"YYYY-MM")</f>
        <v>2024-12</v>
      </c>
    </row>
    <row r="286" spans="1:13" x14ac:dyDescent="0.25">
      <c r="A286" t="s">
        <v>930</v>
      </c>
      <c r="B286" t="s">
        <v>931</v>
      </c>
      <c r="C286" t="s">
        <v>38</v>
      </c>
      <c r="D286">
        <v>38</v>
      </c>
      <c r="E286" t="s">
        <v>932</v>
      </c>
      <c r="F286" t="s">
        <v>102</v>
      </c>
      <c r="G286" t="s">
        <v>41</v>
      </c>
      <c r="H286">
        <v>4</v>
      </c>
      <c r="I286">
        <v>959.62</v>
      </c>
      <c r="J286">
        <v>3838.48</v>
      </c>
      <c r="K286">
        <v>5.64</v>
      </c>
      <c r="L286" s="7">
        <v>45828</v>
      </c>
      <c r="M286" t="str">
        <f>TEXT(customer_demographic_sales_data[[#This Row],[Purchase_Date]],"YYYY-MM")</f>
        <v>2025-06</v>
      </c>
    </row>
    <row r="287" spans="1:13" x14ac:dyDescent="0.25">
      <c r="A287" t="s">
        <v>933</v>
      </c>
      <c r="B287" t="s">
        <v>934</v>
      </c>
      <c r="C287" t="s">
        <v>51</v>
      </c>
      <c r="D287">
        <v>21</v>
      </c>
      <c r="E287" t="s">
        <v>596</v>
      </c>
      <c r="F287" t="s">
        <v>102</v>
      </c>
      <c r="G287" t="s">
        <v>41</v>
      </c>
      <c r="H287">
        <v>5</v>
      </c>
      <c r="I287">
        <v>1893.5</v>
      </c>
      <c r="J287">
        <v>9467.5</v>
      </c>
      <c r="K287">
        <v>38.51</v>
      </c>
      <c r="L287" s="7">
        <v>45547</v>
      </c>
      <c r="M287" t="str">
        <f>TEXT(customer_demographic_sales_data[[#This Row],[Purchase_Date]],"YYYY-MM")</f>
        <v>2024-09</v>
      </c>
    </row>
    <row r="288" spans="1:13" x14ac:dyDescent="0.25">
      <c r="A288" t="s">
        <v>935</v>
      </c>
      <c r="B288" t="s">
        <v>936</v>
      </c>
      <c r="C288" t="s">
        <v>51</v>
      </c>
      <c r="D288">
        <v>28</v>
      </c>
      <c r="E288" t="s">
        <v>937</v>
      </c>
      <c r="F288" t="s">
        <v>58</v>
      </c>
      <c r="G288" t="s">
        <v>41</v>
      </c>
      <c r="H288">
        <v>6</v>
      </c>
      <c r="I288">
        <v>1870.82</v>
      </c>
      <c r="J288">
        <v>11224.92</v>
      </c>
      <c r="K288">
        <v>30.52</v>
      </c>
      <c r="L288" s="7">
        <v>45862</v>
      </c>
      <c r="M288" t="str">
        <f>TEXT(customer_demographic_sales_data[[#This Row],[Purchase_Date]],"YYYY-MM")</f>
        <v>2025-07</v>
      </c>
    </row>
    <row r="289" spans="1:13" x14ac:dyDescent="0.25">
      <c r="A289" t="s">
        <v>938</v>
      </c>
      <c r="B289" t="s">
        <v>939</v>
      </c>
      <c r="C289" t="s">
        <v>38</v>
      </c>
      <c r="D289">
        <v>49</v>
      </c>
      <c r="E289" t="s">
        <v>940</v>
      </c>
      <c r="F289" t="s">
        <v>102</v>
      </c>
      <c r="G289" t="s">
        <v>47</v>
      </c>
      <c r="H289">
        <v>9</v>
      </c>
      <c r="I289">
        <v>960.29</v>
      </c>
      <c r="J289">
        <v>8642.61</v>
      </c>
      <c r="K289">
        <v>3.6</v>
      </c>
      <c r="L289" s="7">
        <v>45675</v>
      </c>
      <c r="M289" t="str">
        <f>TEXT(customer_demographic_sales_data[[#This Row],[Purchase_Date]],"YYYY-MM")</f>
        <v>2025-01</v>
      </c>
    </row>
    <row r="290" spans="1:13" x14ac:dyDescent="0.25">
      <c r="A290" t="s">
        <v>941</v>
      </c>
      <c r="B290" t="s">
        <v>942</v>
      </c>
      <c r="C290" t="s">
        <v>62</v>
      </c>
      <c r="D290">
        <v>43</v>
      </c>
      <c r="E290" t="s">
        <v>943</v>
      </c>
      <c r="F290" t="s">
        <v>40</v>
      </c>
      <c r="G290" t="s">
        <v>73</v>
      </c>
      <c r="H290">
        <v>9</v>
      </c>
      <c r="I290">
        <v>941.6</v>
      </c>
      <c r="J290">
        <v>8474.4</v>
      </c>
      <c r="K290">
        <v>14.12</v>
      </c>
      <c r="L290" s="7">
        <v>45613</v>
      </c>
      <c r="M290" t="str">
        <f>TEXT(customer_demographic_sales_data[[#This Row],[Purchase_Date]],"YYYY-MM")</f>
        <v>2024-11</v>
      </c>
    </row>
    <row r="291" spans="1:13" x14ac:dyDescent="0.25">
      <c r="A291" t="s">
        <v>944</v>
      </c>
      <c r="B291" t="s">
        <v>945</v>
      </c>
      <c r="C291" t="s">
        <v>51</v>
      </c>
      <c r="D291">
        <v>21</v>
      </c>
      <c r="E291" t="s">
        <v>946</v>
      </c>
      <c r="F291" t="s">
        <v>102</v>
      </c>
      <c r="G291" t="s">
        <v>64</v>
      </c>
      <c r="H291">
        <v>5</v>
      </c>
      <c r="I291">
        <v>1015.04</v>
      </c>
      <c r="J291">
        <v>5075.2</v>
      </c>
      <c r="K291">
        <v>21.47</v>
      </c>
      <c r="L291" s="7">
        <v>45873</v>
      </c>
      <c r="M291" t="str">
        <f>TEXT(customer_demographic_sales_data[[#This Row],[Purchase_Date]],"YYYY-MM")</f>
        <v>2025-08</v>
      </c>
    </row>
    <row r="292" spans="1:13" x14ac:dyDescent="0.25">
      <c r="A292" t="s">
        <v>947</v>
      </c>
      <c r="B292" t="s">
        <v>948</v>
      </c>
      <c r="C292" t="s">
        <v>62</v>
      </c>
      <c r="D292">
        <v>-5</v>
      </c>
      <c r="E292" t="s">
        <v>949</v>
      </c>
      <c r="F292" t="s">
        <v>46</v>
      </c>
      <c r="G292" t="s">
        <v>47</v>
      </c>
      <c r="H292">
        <v>2</v>
      </c>
      <c r="I292">
        <v>1200</v>
      </c>
      <c r="J292">
        <v>2400</v>
      </c>
      <c r="K292">
        <v>10</v>
      </c>
      <c r="L292" s="7">
        <v>37136</v>
      </c>
      <c r="M292" t="str">
        <f>TEXT(customer_demographic_sales_data[[#This Row],[Purchase_Date]],"YYYY-MM")</f>
        <v>2001-09</v>
      </c>
    </row>
    <row r="293" spans="1:13" x14ac:dyDescent="0.25">
      <c r="A293" t="s">
        <v>950</v>
      </c>
      <c r="B293" t="s">
        <v>951</v>
      </c>
      <c r="C293" t="s">
        <v>38</v>
      </c>
      <c r="D293">
        <v>200</v>
      </c>
      <c r="E293" t="s">
        <v>952</v>
      </c>
      <c r="F293" t="s">
        <v>40</v>
      </c>
      <c r="G293" t="s">
        <v>64</v>
      </c>
      <c r="H293">
        <v>-3</v>
      </c>
      <c r="I293">
        <v>500</v>
      </c>
      <c r="J293">
        <v>-1500</v>
      </c>
      <c r="K293">
        <v>5</v>
      </c>
      <c r="L293" s="7">
        <v>34704</v>
      </c>
      <c r="M293" t="str">
        <f>TEXT(customer_demographic_sales_data[[#This Row],[Purchase_Date]],"YYYY-MM")</f>
        <v>1995-01</v>
      </c>
    </row>
    <row r="294" spans="1:13" x14ac:dyDescent="0.25">
      <c r="A294" t="s">
        <v>953</v>
      </c>
      <c r="B294" t="s">
        <v>954</v>
      </c>
      <c r="C294" t="s">
        <v>51</v>
      </c>
      <c r="D294">
        <v>30</v>
      </c>
      <c r="E294" t="s">
        <v>955</v>
      </c>
      <c r="F294" t="s">
        <v>102</v>
      </c>
      <c r="G294" t="s">
        <v>53</v>
      </c>
      <c r="H294">
        <v>1</v>
      </c>
      <c r="J294">
        <v>1000</v>
      </c>
      <c r="K294">
        <v>110</v>
      </c>
      <c r="L294" s="7">
        <v>40624</v>
      </c>
      <c r="M294" t="str">
        <f>TEXT(customer_demographic_sales_data[[#This Row],[Purchase_Date]],"YYYY-MM")</f>
        <v>2011-03</v>
      </c>
    </row>
    <row r="295" spans="1:13" x14ac:dyDescent="0.25">
      <c r="A295" t="s">
        <v>956</v>
      </c>
      <c r="B295" t="s">
        <v>957</v>
      </c>
      <c r="C295" t="s">
        <v>38</v>
      </c>
      <c r="E295" t="s">
        <v>707</v>
      </c>
      <c r="F295" t="s">
        <v>58</v>
      </c>
      <c r="G295" t="s">
        <v>41</v>
      </c>
      <c r="H295">
        <v>4</v>
      </c>
      <c r="I295">
        <v>800</v>
      </c>
      <c r="J295">
        <f>customer_demographic_sales_data[[#This Row],[Unit_Price]]*customer_demographic_sales_data[[#This Row],[Quantity]]</f>
        <v>3200</v>
      </c>
      <c r="K295">
        <v>-15</v>
      </c>
      <c r="L295" s="7">
        <v>44328</v>
      </c>
      <c r="M295" t="str">
        <f>TEXT(customer_demographic_sales_data[[#This Row],[Purchase_Date]],"YYYY-MM")</f>
        <v>2021-05</v>
      </c>
    </row>
    <row r="296" spans="1:13" x14ac:dyDescent="0.25">
      <c r="A296" t="s">
        <v>958</v>
      </c>
      <c r="B296" t="s">
        <v>959</v>
      </c>
      <c r="C296" t="s">
        <v>62</v>
      </c>
      <c r="D296">
        <v>45</v>
      </c>
      <c r="E296" t="s">
        <v>960</v>
      </c>
      <c r="F296" t="s">
        <v>46</v>
      </c>
      <c r="G296" t="s">
        <v>73</v>
      </c>
      <c r="H296">
        <v>9999</v>
      </c>
      <c r="I296">
        <v>0</v>
      </c>
      <c r="J296">
        <v>0</v>
      </c>
      <c r="K296">
        <v>50</v>
      </c>
      <c r="L296" s="7">
        <v>28357</v>
      </c>
      <c r="M296" t="str">
        <f>TEXT(customer_demographic_sales_data[[#This Row],[Purchase_Date]],"YYYY-MM")</f>
        <v>1977-08</v>
      </c>
    </row>
  </sheetData>
  <conditionalFormatting sqref="A297:I1048576 K297:L1048576">
    <cfRule type="duplicateValues" dxfId="2" priority="3"/>
  </conditionalFormatting>
  <conditionalFormatting sqref="J1:J1048576">
    <cfRule type="expression" dxfId="1" priority="1">
      <formula>"ISNUMBER"</formula>
    </cfRule>
  </conditionalFormatting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6A1F-7549-4EAB-BB7D-40CC57651288}">
  <dimension ref="A1:F33"/>
  <sheetViews>
    <sheetView workbookViewId="0">
      <selection activeCell="O16" sqref="O16"/>
    </sheetView>
  </sheetViews>
  <sheetFormatPr defaultRowHeight="15" x14ac:dyDescent="0.25"/>
  <cols>
    <col min="1" max="1" width="17.7109375" bestFit="1" customWidth="1"/>
    <col min="2" max="2" width="19.7109375" bestFit="1" customWidth="1"/>
    <col min="5" max="5" width="16.5703125" bestFit="1" customWidth="1"/>
    <col min="6" max="6" width="12" bestFit="1" customWidth="1"/>
  </cols>
  <sheetData>
    <row r="1" spans="1:6" x14ac:dyDescent="0.25">
      <c r="A1" s="1" t="s">
        <v>33</v>
      </c>
      <c r="B1" s="1" t="s">
        <v>35</v>
      </c>
    </row>
    <row r="2" spans="1:6" x14ac:dyDescent="0.25">
      <c r="A2" s="10" t="s">
        <v>42</v>
      </c>
      <c r="B2" s="2">
        <v>0</v>
      </c>
      <c r="E2" t="s">
        <v>961</v>
      </c>
      <c r="F2">
        <f>AVERAGE(B:B)</f>
        <v>110627.51096774194</v>
      </c>
    </row>
    <row r="3" spans="1:6" x14ac:dyDescent="0.25">
      <c r="A3" s="10" t="s">
        <v>48</v>
      </c>
      <c r="B3" s="2">
        <v>-1500</v>
      </c>
      <c r="E3" t="s">
        <v>962</v>
      </c>
      <c r="F3">
        <f>MEDIAN(B:B)</f>
        <v>62178.340000000004</v>
      </c>
    </row>
    <row r="4" spans="1:6" x14ac:dyDescent="0.25">
      <c r="A4" s="10" t="s">
        <v>54</v>
      </c>
      <c r="B4" s="2">
        <v>2400</v>
      </c>
      <c r="E4" t="s">
        <v>963</v>
      </c>
      <c r="F4" t="e">
        <f>MODE(B:B)</f>
        <v>#N/A</v>
      </c>
    </row>
    <row r="5" spans="1:6" x14ac:dyDescent="0.25">
      <c r="A5" s="10" t="s">
        <v>59</v>
      </c>
      <c r="B5" s="2">
        <v>1000</v>
      </c>
    </row>
    <row r="6" spans="1:6" x14ac:dyDescent="0.25">
      <c r="A6" s="10" t="s">
        <v>65</v>
      </c>
      <c r="B6" s="2">
        <v>3200</v>
      </c>
      <c r="E6" t="s">
        <v>964</v>
      </c>
      <c r="F6">
        <f>MAX(B:B)-MIN(B:B)</f>
        <v>1716226.4200000002</v>
      </c>
    </row>
    <row r="7" spans="1:6" x14ac:dyDescent="0.25">
      <c r="A7" s="10" t="s">
        <v>69</v>
      </c>
      <c r="B7" s="2">
        <v>67939.790000000008</v>
      </c>
      <c r="E7" t="s">
        <v>965</v>
      </c>
      <c r="F7">
        <f>_xlfn.VAR.S(B:B)</f>
        <v>90065754089.23584</v>
      </c>
    </row>
    <row r="8" spans="1:6" x14ac:dyDescent="0.25">
      <c r="A8" s="10" t="s">
        <v>74</v>
      </c>
      <c r="B8" s="2">
        <v>70224.78</v>
      </c>
      <c r="E8" t="s">
        <v>966</v>
      </c>
      <c r="F8">
        <f>_xlfn.STDEV.S(B:B)</f>
        <v>300109.57013936731</v>
      </c>
    </row>
    <row r="9" spans="1:6" x14ac:dyDescent="0.25">
      <c r="A9" s="10" t="s">
        <v>78</v>
      </c>
      <c r="B9" s="2">
        <v>74054.819999999992</v>
      </c>
    </row>
    <row r="10" spans="1:6" x14ac:dyDescent="0.25">
      <c r="A10" s="10" t="s">
        <v>82</v>
      </c>
      <c r="B10" s="2">
        <v>85413.91</v>
      </c>
    </row>
    <row r="11" spans="1:6" x14ac:dyDescent="0.25">
      <c r="A11" s="10" t="s">
        <v>86</v>
      </c>
      <c r="B11" s="2">
        <v>44889.55</v>
      </c>
    </row>
    <row r="12" spans="1:6" x14ac:dyDescent="0.25">
      <c r="A12" s="10" t="s">
        <v>90</v>
      </c>
      <c r="B12" s="2">
        <v>70560.539999999994</v>
      </c>
    </row>
    <row r="13" spans="1:6" x14ac:dyDescent="0.25">
      <c r="A13" s="10" t="s">
        <v>94</v>
      </c>
      <c r="B13" s="2">
        <v>121529.72</v>
      </c>
    </row>
    <row r="14" spans="1:6" x14ac:dyDescent="0.25">
      <c r="A14" s="10" t="s">
        <v>98</v>
      </c>
      <c r="B14" s="2">
        <v>120616.69000000002</v>
      </c>
    </row>
    <row r="15" spans="1:6" x14ac:dyDescent="0.25">
      <c r="A15" s="10" t="s">
        <v>103</v>
      </c>
      <c r="B15" s="2">
        <v>82022.450000000012</v>
      </c>
    </row>
    <row r="16" spans="1:6" x14ac:dyDescent="0.25">
      <c r="A16" s="10" t="s">
        <v>107</v>
      </c>
      <c r="B16" s="2">
        <v>60681.17</v>
      </c>
    </row>
    <row r="17" spans="1:2" x14ac:dyDescent="0.25">
      <c r="A17" s="10" t="s">
        <v>111</v>
      </c>
      <c r="B17" s="2">
        <v>40003.980000000003</v>
      </c>
    </row>
    <row r="18" spans="1:2" x14ac:dyDescent="0.25">
      <c r="A18" s="10" t="s">
        <v>115</v>
      </c>
      <c r="B18" s="2">
        <v>62178.340000000004</v>
      </c>
    </row>
    <row r="19" spans="1:2" x14ac:dyDescent="0.25">
      <c r="A19" s="10" t="s">
        <v>119</v>
      </c>
      <c r="B19" s="2">
        <v>65562.94</v>
      </c>
    </row>
    <row r="20" spans="1:2" x14ac:dyDescent="0.25">
      <c r="A20" s="10" t="s">
        <v>123</v>
      </c>
      <c r="B20" s="2">
        <v>58775.599999999991</v>
      </c>
    </row>
    <row r="21" spans="1:2" x14ac:dyDescent="0.25">
      <c r="A21" s="10" t="s">
        <v>127</v>
      </c>
      <c r="B21" s="2">
        <v>47189.18</v>
      </c>
    </row>
    <row r="22" spans="1:2" x14ac:dyDescent="0.25">
      <c r="A22" s="10" t="s">
        <v>131</v>
      </c>
      <c r="B22" s="2">
        <v>97175.549999999988</v>
      </c>
    </row>
    <row r="23" spans="1:2" x14ac:dyDescent="0.25">
      <c r="A23" s="10" t="s">
        <v>135</v>
      </c>
      <c r="B23" s="2">
        <v>76424.600000000006</v>
      </c>
    </row>
    <row r="24" spans="1:2" x14ac:dyDescent="0.25">
      <c r="A24" s="10" t="s">
        <v>139</v>
      </c>
      <c r="B24" s="2">
        <v>115009.63</v>
      </c>
    </row>
    <row r="25" spans="1:2" x14ac:dyDescent="0.25">
      <c r="A25" s="10" t="s">
        <v>143</v>
      </c>
      <c r="B25" s="2">
        <v>30967.440000000002</v>
      </c>
    </row>
    <row r="26" spans="1:2" x14ac:dyDescent="0.25">
      <c r="A26" s="10" t="s">
        <v>147</v>
      </c>
      <c r="B26" s="2">
        <v>33853.58</v>
      </c>
    </row>
    <row r="27" spans="1:2" x14ac:dyDescent="0.25">
      <c r="A27" s="10" t="s">
        <v>151</v>
      </c>
      <c r="B27" s="2">
        <v>127730.31</v>
      </c>
    </row>
    <row r="28" spans="1:2" x14ac:dyDescent="0.25">
      <c r="A28" s="10" t="s">
        <v>155</v>
      </c>
      <c r="B28" s="2">
        <v>47275.01</v>
      </c>
    </row>
    <row r="29" spans="1:2" x14ac:dyDescent="0.25">
      <c r="A29" s="10" t="s">
        <v>159</v>
      </c>
      <c r="B29" s="2">
        <v>83998.75</v>
      </c>
    </row>
    <row r="30" spans="1:2" x14ac:dyDescent="0.25">
      <c r="A30" s="10" t="s">
        <v>163</v>
      </c>
      <c r="B30" s="2">
        <v>9999.9599999999991</v>
      </c>
    </row>
    <row r="31" spans="1:2" x14ac:dyDescent="0.25">
      <c r="A31" s="10" t="s">
        <v>167</v>
      </c>
      <c r="B31" s="2">
        <v>15548.13</v>
      </c>
    </row>
    <row r="33" spans="2:2" x14ac:dyDescent="0.25">
      <c r="B33">
        <v>1714726.4200000002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4C6E-1FAC-4813-BB23-62BE49D1C616}">
  <dimension ref="B1:M296"/>
  <sheetViews>
    <sheetView workbookViewId="0">
      <selection activeCell="Y18" sqref="Y18"/>
    </sheetView>
  </sheetViews>
  <sheetFormatPr defaultRowHeight="15" x14ac:dyDescent="0.25"/>
  <cols>
    <col min="3" max="3" width="6.42578125" bestFit="1" customWidth="1"/>
  </cols>
  <sheetData>
    <row r="1" spans="2:6" x14ac:dyDescent="0.25">
      <c r="B1" s="3" t="s">
        <v>15</v>
      </c>
      <c r="C1" s="3" t="s">
        <v>24</v>
      </c>
      <c r="E1" s="5" t="s">
        <v>15</v>
      </c>
      <c r="F1" s="5" t="s">
        <v>16</v>
      </c>
    </row>
    <row r="2" spans="2:6" x14ac:dyDescent="0.25">
      <c r="B2" s="2">
        <v>18</v>
      </c>
      <c r="C2" s="2">
        <v>58</v>
      </c>
      <c r="E2">
        <v>18</v>
      </c>
      <c r="F2">
        <v>3</v>
      </c>
    </row>
    <row r="3" spans="2:6" x14ac:dyDescent="0.25">
      <c r="B3" s="2">
        <v>25</v>
      </c>
      <c r="C3" s="2">
        <v>24</v>
      </c>
      <c r="E3">
        <v>25</v>
      </c>
      <c r="F3">
        <v>41</v>
      </c>
    </row>
    <row r="4" spans="2:6" x14ac:dyDescent="0.25">
      <c r="B4" s="2">
        <v>35</v>
      </c>
      <c r="C4" s="2">
        <v>32</v>
      </c>
      <c r="E4">
        <v>35</v>
      </c>
      <c r="F4">
        <v>63</v>
      </c>
    </row>
    <row r="5" spans="2:6" x14ac:dyDescent="0.25">
      <c r="B5" s="2">
        <v>45</v>
      </c>
      <c r="C5" s="2">
        <v>52</v>
      </c>
      <c r="E5">
        <v>45</v>
      </c>
      <c r="F5">
        <v>59</v>
      </c>
    </row>
    <row r="6" spans="2:6" x14ac:dyDescent="0.25">
      <c r="B6" s="2">
        <v>55</v>
      </c>
      <c r="C6" s="2">
        <v>28</v>
      </c>
      <c r="E6">
        <v>55</v>
      </c>
      <c r="F6">
        <v>53</v>
      </c>
    </row>
    <row r="7" spans="2:6" x14ac:dyDescent="0.25">
      <c r="B7" s="2">
        <v>65</v>
      </c>
      <c r="C7" s="2">
        <v>42</v>
      </c>
      <c r="E7">
        <v>65</v>
      </c>
      <c r="F7">
        <v>49</v>
      </c>
    </row>
    <row r="8" spans="2:6" x14ac:dyDescent="0.25">
      <c r="B8" s="2">
        <v>75</v>
      </c>
      <c r="C8" s="2">
        <v>52</v>
      </c>
      <c r="E8">
        <v>75</v>
      </c>
      <c r="F8">
        <v>25</v>
      </c>
    </row>
    <row r="9" spans="2:6" x14ac:dyDescent="0.25">
      <c r="B9" s="2">
        <v>85</v>
      </c>
      <c r="C9" s="2">
        <v>58</v>
      </c>
      <c r="E9">
        <v>85</v>
      </c>
      <c r="F9">
        <v>0</v>
      </c>
    </row>
    <row r="10" spans="2:6" x14ac:dyDescent="0.25">
      <c r="B10" s="2">
        <v>95</v>
      </c>
      <c r="C10" s="2">
        <v>60</v>
      </c>
      <c r="E10">
        <v>95</v>
      </c>
      <c r="F10">
        <v>0</v>
      </c>
    </row>
    <row r="11" spans="2:6" ht="15.75" thickBot="1" x14ac:dyDescent="0.3">
      <c r="C11" s="2">
        <v>47</v>
      </c>
      <c r="E11" s="11" t="s">
        <v>967</v>
      </c>
      <c r="F11" s="11">
        <v>1</v>
      </c>
    </row>
    <row r="12" spans="2:6" x14ac:dyDescent="0.25">
      <c r="C12" s="2">
        <v>61</v>
      </c>
    </row>
    <row r="13" spans="2:6" x14ac:dyDescent="0.25">
      <c r="C13" s="2">
        <v>35</v>
      </c>
    </row>
    <row r="14" spans="2:6" x14ac:dyDescent="0.25">
      <c r="C14" s="2">
        <v>69</v>
      </c>
      <c r="E14" s="1" t="s">
        <v>968</v>
      </c>
    </row>
    <row r="15" spans="2:6" x14ac:dyDescent="0.25">
      <c r="C15" s="2">
        <v>38</v>
      </c>
      <c r="E15" s="2" t="s">
        <v>969</v>
      </c>
    </row>
    <row r="16" spans="2:6" x14ac:dyDescent="0.25">
      <c r="C16" s="2">
        <v>33</v>
      </c>
      <c r="E16" s="2" t="s">
        <v>970</v>
      </c>
    </row>
    <row r="17" spans="3:13" x14ac:dyDescent="0.25">
      <c r="C17" s="2">
        <v>32</v>
      </c>
      <c r="E17" s="2" t="s">
        <v>971</v>
      </c>
    </row>
    <row r="18" spans="3:13" x14ac:dyDescent="0.25">
      <c r="C18" s="2">
        <v>28</v>
      </c>
      <c r="E18" s="2" t="s">
        <v>972</v>
      </c>
    </row>
    <row r="19" spans="3:13" x14ac:dyDescent="0.25">
      <c r="C19" s="2">
        <v>51</v>
      </c>
      <c r="E19" s="2" t="s">
        <v>973</v>
      </c>
    </row>
    <row r="20" spans="3:13" x14ac:dyDescent="0.25">
      <c r="C20" s="2">
        <v>66</v>
      </c>
      <c r="E20" s="2" t="s">
        <v>974</v>
      </c>
    </row>
    <row r="21" spans="3:13" x14ac:dyDescent="0.25">
      <c r="C21" s="2">
        <v>47</v>
      </c>
      <c r="E21" s="2" t="s">
        <v>975</v>
      </c>
    </row>
    <row r="22" spans="3:13" x14ac:dyDescent="0.25">
      <c r="C22" s="2">
        <v>50</v>
      </c>
      <c r="E22" s="2" t="s">
        <v>976</v>
      </c>
      <c r="H22" s="26" t="s">
        <v>977</v>
      </c>
      <c r="I22" s="26"/>
      <c r="J22" s="26"/>
      <c r="K22" s="26"/>
      <c r="L22" s="26"/>
      <c r="M22" s="26"/>
    </row>
    <row r="23" spans="3:13" x14ac:dyDescent="0.25">
      <c r="C23" s="2">
        <v>28</v>
      </c>
      <c r="E23" s="2" t="s">
        <v>978</v>
      </c>
      <c r="H23" s="26"/>
      <c r="I23" s="26"/>
      <c r="J23" s="26"/>
      <c r="K23" s="26"/>
      <c r="L23" s="26"/>
      <c r="M23" s="26"/>
    </row>
    <row r="24" spans="3:13" x14ac:dyDescent="0.25">
      <c r="C24" s="2">
        <v>19</v>
      </c>
      <c r="H24" s="26"/>
      <c r="I24" s="26"/>
      <c r="J24" s="26"/>
      <c r="K24" s="26"/>
      <c r="L24" s="26"/>
      <c r="M24" s="26"/>
    </row>
    <row r="25" spans="3:13" x14ac:dyDescent="0.25">
      <c r="C25" s="2">
        <v>54</v>
      </c>
    </row>
    <row r="26" spans="3:13" x14ac:dyDescent="0.25">
      <c r="C26" s="2">
        <v>26</v>
      </c>
    </row>
    <row r="27" spans="3:13" x14ac:dyDescent="0.25">
      <c r="C27" s="2">
        <v>45</v>
      </c>
    </row>
    <row r="28" spans="3:13" x14ac:dyDescent="0.25">
      <c r="C28" s="2">
        <v>60</v>
      </c>
    </row>
    <row r="29" spans="3:13" x14ac:dyDescent="0.25">
      <c r="C29" s="2">
        <v>22</v>
      </c>
    </row>
    <row r="30" spans="3:13" x14ac:dyDescent="0.25">
      <c r="C30" s="2">
        <v>22</v>
      </c>
    </row>
    <row r="31" spans="3:13" x14ac:dyDescent="0.25">
      <c r="C31" s="2">
        <v>35</v>
      </c>
    </row>
    <row r="32" spans="3:13" x14ac:dyDescent="0.25">
      <c r="C32" s="2">
        <v>69</v>
      </c>
    </row>
    <row r="33" spans="3:3" x14ac:dyDescent="0.25">
      <c r="C33" s="2">
        <v>47</v>
      </c>
    </row>
    <row r="34" spans="3:3" x14ac:dyDescent="0.25">
      <c r="C34" s="2">
        <v>39</v>
      </c>
    </row>
    <row r="35" spans="3:3" x14ac:dyDescent="0.25">
      <c r="C35" s="2">
        <v>35</v>
      </c>
    </row>
    <row r="36" spans="3:3" x14ac:dyDescent="0.25">
      <c r="C36" s="2">
        <v>59</v>
      </c>
    </row>
    <row r="37" spans="3:3" x14ac:dyDescent="0.25">
      <c r="C37" s="2">
        <v>48</v>
      </c>
    </row>
    <row r="38" spans="3:3" x14ac:dyDescent="0.25">
      <c r="C38" s="2">
        <v>42</v>
      </c>
    </row>
    <row r="39" spans="3:3" x14ac:dyDescent="0.25">
      <c r="C39" s="2">
        <v>64</v>
      </c>
    </row>
    <row r="40" spans="3:3" x14ac:dyDescent="0.25">
      <c r="C40" s="2">
        <v>21</v>
      </c>
    </row>
    <row r="41" spans="3:3" x14ac:dyDescent="0.25">
      <c r="C41" s="2">
        <v>48</v>
      </c>
    </row>
    <row r="42" spans="3:3" x14ac:dyDescent="0.25">
      <c r="C42" s="2">
        <v>23</v>
      </c>
    </row>
    <row r="43" spans="3:3" x14ac:dyDescent="0.25">
      <c r="C43" s="2">
        <v>54</v>
      </c>
    </row>
    <row r="44" spans="3:3" x14ac:dyDescent="0.25">
      <c r="C44" s="2">
        <v>54</v>
      </c>
    </row>
    <row r="45" spans="3:3" x14ac:dyDescent="0.25">
      <c r="C45" s="2">
        <v>33</v>
      </c>
    </row>
    <row r="46" spans="3:3" x14ac:dyDescent="0.25">
      <c r="C46" s="2">
        <v>66</v>
      </c>
    </row>
    <row r="47" spans="3:3" x14ac:dyDescent="0.25">
      <c r="C47" s="2">
        <v>50</v>
      </c>
    </row>
    <row r="48" spans="3:3" x14ac:dyDescent="0.25">
      <c r="C48" s="2">
        <v>28</v>
      </c>
    </row>
    <row r="49" spans="3:3" x14ac:dyDescent="0.25">
      <c r="C49" s="2">
        <v>69</v>
      </c>
    </row>
    <row r="50" spans="3:3" x14ac:dyDescent="0.25">
      <c r="C50" s="2">
        <v>26</v>
      </c>
    </row>
    <row r="51" spans="3:3" x14ac:dyDescent="0.25">
      <c r="C51" s="2">
        <v>31</v>
      </c>
    </row>
    <row r="52" spans="3:3" x14ac:dyDescent="0.25">
      <c r="C52" s="2">
        <v>21</v>
      </c>
    </row>
    <row r="53" spans="3:3" x14ac:dyDescent="0.25">
      <c r="C53" s="2">
        <v>26</v>
      </c>
    </row>
    <row r="54" spans="3:3" x14ac:dyDescent="0.25">
      <c r="C54" s="2">
        <v>22</v>
      </c>
    </row>
    <row r="55" spans="3:3" x14ac:dyDescent="0.25">
      <c r="C55" s="2">
        <v>37</v>
      </c>
    </row>
    <row r="56" spans="3:3" x14ac:dyDescent="0.25">
      <c r="C56" s="2">
        <v>60</v>
      </c>
    </row>
    <row r="57" spans="3:3" x14ac:dyDescent="0.25">
      <c r="C57" s="2">
        <v>33</v>
      </c>
    </row>
    <row r="58" spans="3:3" x14ac:dyDescent="0.25">
      <c r="C58" s="2">
        <v>39</v>
      </c>
    </row>
    <row r="59" spans="3:3" x14ac:dyDescent="0.25">
      <c r="C59" s="2">
        <v>62</v>
      </c>
    </row>
    <row r="60" spans="3:3" x14ac:dyDescent="0.25">
      <c r="C60" s="2">
        <v>47</v>
      </c>
    </row>
    <row r="61" spans="3:3" x14ac:dyDescent="0.25">
      <c r="C61" s="2">
        <v>43</v>
      </c>
    </row>
    <row r="62" spans="3:3" x14ac:dyDescent="0.25">
      <c r="C62" s="2">
        <v>43</v>
      </c>
    </row>
    <row r="63" spans="3:3" x14ac:dyDescent="0.25">
      <c r="C63" s="2">
        <v>34</v>
      </c>
    </row>
    <row r="64" spans="3:3" x14ac:dyDescent="0.25">
      <c r="C64" s="2">
        <v>45</v>
      </c>
    </row>
    <row r="65" spans="3:3" x14ac:dyDescent="0.25">
      <c r="C65" s="2">
        <v>20</v>
      </c>
    </row>
    <row r="66" spans="3:3" x14ac:dyDescent="0.25">
      <c r="C66" s="2">
        <v>60</v>
      </c>
    </row>
    <row r="67" spans="3:3" x14ac:dyDescent="0.25">
      <c r="C67" s="2">
        <v>50</v>
      </c>
    </row>
    <row r="68" spans="3:3" x14ac:dyDescent="0.25">
      <c r="C68" s="2">
        <v>26</v>
      </c>
    </row>
    <row r="69" spans="3:3" x14ac:dyDescent="0.25">
      <c r="C69" s="2">
        <v>43</v>
      </c>
    </row>
    <row r="70" spans="3:3" x14ac:dyDescent="0.25">
      <c r="C70" s="2">
        <v>55</v>
      </c>
    </row>
    <row r="71" spans="3:3" x14ac:dyDescent="0.25">
      <c r="C71" s="2">
        <v>50</v>
      </c>
    </row>
    <row r="72" spans="3:3" x14ac:dyDescent="0.25">
      <c r="C72" s="2">
        <v>50</v>
      </c>
    </row>
    <row r="73" spans="3:3" x14ac:dyDescent="0.25">
      <c r="C73" s="2">
        <v>27</v>
      </c>
    </row>
    <row r="74" spans="3:3" x14ac:dyDescent="0.25">
      <c r="C74" s="2">
        <v>58</v>
      </c>
    </row>
    <row r="75" spans="3:3" x14ac:dyDescent="0.25">
      <c r="C75" s="2">
        <v>27</v>
      </c>
    </row>
    <row r="76" spans="3:3" x14ac:dyDescent="0.25">
      <c r="C76" s="2">
        <v>62</v>
      </c>
    </row>
    <row r="77" spans="3:3" x14ac:dyDescent="0.25">
      <c r="C77" s="2">
        <v>69</v>
      </c>
    </row>
    <row r="78" spans="3:3" x14ac:dyDescent="0.25">
      <c r="C78" s="2">
        <v>64</v>
      </c>
    </row>
    <row r="79" spans="3:3" x14ac:dyDescent="0.25">
      <c r="C79" s="2">
        <v>48</v>
      </c>
    </row>
    <row r="80" spans="3:3" x14ac:dyDescent="0.25">
      <c r="C80" s="2">
        <v>33</v>
      </c>
    </row>
    <row r="81" spans="3:3" x14ac:dyDescent="0.25">
      <c r="C81" s="2">
        <v>38</v>
      </c>
    </row>
    <row r="82" spans="3:3" x14ac:dyDescent="0.25">
      <c r="C82" s="2">
        <v>63</v>
      </c>
    </row>
    <row r="83" spans="3:3" x14ac:dyDescent="0.25">
      <c r="C83" s="2">
        <v>21</v>
      </c>
    </row>
    <row r="84" spans="3:3" x14ac:dyDescent="0.25">
      <c r="C84" s="2">
        <v>18</v>
      </c>
    </row>
    <row r="85" spans="3:3" x14ac:dyDescent="0.25">
      <c r="C85" s="2">
        <v>52</v>
      </c>
    </row>
    <row r="86" spans="3:3" x14ac:dyDescent="0.25">
      <c r="C86" s="2">
        <v>19</v>
      </c>
    </row>
    <row r="87" spans="3:3" x14ac:dyDescent="0.25">
      <c r="C87" s="2">
        <v>47</v>
      </c>
    </row>
    <row r="88" spans="3:3" x14ac:dyDescent="0.25">
      <c r="C88" s="2">
        <v>60</v>
      </c>
    </row>
    <row r="89" spans="3:3" x14ac:dyDescent="0.25">
      <c r="C89" s="2">
        <v>34</v>
      </c>
    </row>
    <row r="90" spans="3:3" x14ac:dyDescent="0.25">
      <c r="C90" s="2">
        <v>42</v>
      </c>
    </row>
    <row r="91" spans="3:3" x14ac:dyDescent="0.25">
      <c r="C91" s="2">
        <v>65</v>
      </c>
    </row>
    <row r="92" spans="3:3" x14ac:dyDescent="0.25">
      <c r="C92" s="2">
        <v>59</v>
      </c>
    </row>
    <row r="93" spans="3:3" x14ac:dyDescent="0.25">
      <c r="C93" s="2">
        <v>33</v>
      </c>
    </row>
    <row r="94" spans="3:3" x14ac:dyDescent="0.25">
      <c r="C94" s="2">
        <v>67</v>
      </c>
    </row>
    <row r="95" spans="3:3" x14ac:dyDescent="0.25">
      <c r="C95" s="2">
        <v>24</v>
      </c>
    </row>
    <row r="96" spans="3:3" x14ac:dyDescent="0.25">
      <c r="C96" s="2">
        <v>30</v>
      </c>
    </row>
    <row r="97" spans="3:3" x14ac:dyDescent="0.25">
      <c r="C97" s="2">
        <v>37</v>
      </c>
    </row>
    <row r="98" spans="3:3" x14ac:dyDescent="0.25">
      <c r="C98" s="2">
        <v>60</v>
      </c>
    </row>
    <row r="99" spans="3:3" x14ac:dyDescent="0.25">
      <c r="C99" s="2">
        <v>70</v>
      </c>
    </row>
    <row r="100" spans="3:3" x14ac:dyDescent="0.25">
      <c r="C100" s="2">
        <v>29</v>
      </c>
    </row>
    <row r="101" spans="3:3" x14ac:dyDescent="0.25">
      <c r="C101" s="2">
        <v>64</v>
      </c>
    </row>
    <row r="102" spans="3:3" x14ac:dyDescent="0.25">
      <c r="C102" s="2">
        <v>33</v>
      </c>
    </row>
    <row r="103" spans="3:3" x14ac:dyDescent="0.25">
      <c r="C103" s="2">
        <v>38</v>
      </c>
    </row>
    <row r="104" spans="3:3" x14ac:dyDescent="0.25">
      <c r="C104" s="2">
        <v>56</v>
      </c>
    </row>
    <row r="105" spans="3:3" x14ac:dyDescent="0.25">
      <c r="C105" s="2">
        <v>44</v>
      </c>
    </row>
    <row r="106" spans="3:3" x14ac:dyDescent="0.25">
      <c r="C106" s="2">
        <v>46</v>
      </c>
    </row>
    <row r="107" spans="3:3" x14ac:dyDescent="0.25">
      <c r="C107" s="2">
        <v>60</v>
      </c>
    </row>
    <row r="108" spans="3:3" x14ac:dyDescent="0.25">
      <c r="C108" s="2">
        <v>53</v>
      </c>
    </row>
    <row r="109" spans="3:3" x14ac:dyDescent="0.25">
      <c r="C109" s="2">
        <v>25</v>
      </c>
    </row>
    <row r="110" spans="3:3" x14ac:dyDescent="0.25">
      <c r="C110" s="2">
        <v>48</v>
      </c>
    </row>
    <row r="111" spans="3:3" x14ac:dyDescent="0.25">
      <c r="C111" s="2">
        <v>36</v>
      </c>
    </row>
    <row r="112" spans="3:3" x14ac:dyDescent="0.25">
      <c r="C112" s="2">
        <v>35</v>
      </c>
    </row>
    <row r="113" spans="3:3" x14ac:dyDescent="0.25">
      <c r="C113" s="2">
        <v>58</v>
      </c>
    </row>
    <row r="114" spans="3:3" x14ac:dyDescent="0.25">
      <c r="C114" s="2">
        <v>39</v>
      </c>
    </row>
    <row r="115" spans="3:3" x14ac:dyDescent="0.25">
      <c r="C115" s="2">
        <v>43</v>
      </c>
    </row>
    <row r="116" spans="3:3" x14ac:dyDescent="0.25">
      <c r="C116" s="2">
        <v>54</v>
      </c>
    </row>
    <row r="117" spans="3:3" x14ac:dyDescent="0.25">
      <c r="C117" s="2">
        <v>56</v>
      </c>
    </row>
    <row r="118" spans="3:3" x14ac:dyDescent="0.25">
      <c r="C118" s="2">
        <v>37</v>
      </c>
    </row>
    <row r="119" spans="3:3" x14ac:dyDescent="0.25">
      <c r="C119" s="2">
        <v>24</v>
      </c>
    </row>
    <row r="120" spans="3:3" x14ac:dyDescent="0.25">
      <c r="C120" s="2">
        <v>53</v>
      </c>
    </row>
    <row r="121" spans="3:3" x14ac:dyDescent="0.25">
      <c r="C121" s="2">
        <v>36</v>
      </c>
    </row>
    <row r="122" spans="3:3" x14ac:dyDescent="0.25">
      <c r="C122" s="2">
        <v>22</v>
      </c>
    </row>
    <row r="123" spans="3:3" x14ac:dyDescent="0.25">
      <c r="C123" s="2">
        <v>32</v>
      </c>
    </row>
    <row r="124" spans="3:3" x14ac:dyDescent="0.25">
      <c r="C124" s="2">
        <v>37</v>
      </c>
    </row>
    <row r="125" spans="3:3" x14ac:dyDescent="0.25">
      <c r="C125" s="2">
        <v>62</v>
      </c>
    </row>
    <row r="126" spans="3:3" x14ac:dyDescent="0.25">
      <c r="C126" s="2">
        <v>20</v>
      </c>
    </row>
    <row r="127" spans="3:3" x14ac:dyDescent="0.25">
      <c r="C127" s="2">
        <v>61</v>
      </c>
    </row>
    <row r="128" spans="3:3" x14ac:dyDescent="0.25">
      <c r="C128" s="2">
        <v>66</v>
      </c>
    </row>
    <row r="129" spans="3:3" x14ac:dyDescent="0.25">
      <c r="C129" s="2">
        <v>55</v>
      </c>
    </row>
    <row r="130" spans="3:3" x14ac:dyDescent="0.25">
      <c r="C130" s="2">
        <v>39</v>
      </c>
    </row>
    <row r="131" spans="3:3" x14ac:dyDescent="0.25">
      <c r="C131" s="2">
        <v>36</v>
      </c>
    </row>
    <row r="132" spans="3:3" x14ac:dyDescent="0.25">
      <c r="C132" s="2">
        <v>34</v>
      </c>
    </row>
    <row r="133" spans="3:3" x14ac:dyDescent="0.25">
      <c r="C133" s="2">
        <v>47</v>
      </c>
    </row>
    <row r="134" spans="3:3" x14ac:dyDescent="0.25">
      <c r="C134" s="2">
        <v>58</v>
      </c>
    </row>
    <row r="135" spans="3:3" x14ac:dyDescent="0.25">
      <c r="C135" s="2">
        <v>36</v>
      </c>
    </row>
    <row r="136" spans="3:3" x14ac:dyDescent="0.25">
      <c r="C136" s="2">
        <v>56</v>
      </c>
    </row>
    <row r="137" spans="3:3" x14ac:dyDescent="0.25">
      <c r="C137" s="2">
        <v>32</v>
      </c>
    </row>
    <row r="138" spans="3:3" x14ac:dyDescent="0.25">
      <c r="C138" s="2">
        <v>36</v>
      </c>
    </row>
    <row r="139" spans="3:3" x14ac:dyDescent="0.25">
      <c r="C139" s="2">
        <v>53</v>
      </c>
    </row>
    <row r="140" spans="3:3" x14ac:dyDescent="0.25">
      <c r="C140" s="2">
        <v>68</v>
      </c>
    </row>
    <row r="141" spans="3:3" x14ac:dyDescent="0.25">
      <c r="C141" s="2">
        <v>37</v>
      </c>
    </row>
    <row r="142" spans="3:3" x14ac:dyDescent="0.25">
      <c r="C142" s="2">
        <v>48</v>
      </c>
    </row>
    <row r="143" spans="3:3" x14ac:dyDescent="0.25">
      <c r="C143" s="2">
        <v>30</v>
      </c>
    </row>
    <row r="144" spans="3:3" x14ac:dyDescent="0.25">
      <c r="C144" s="2">
        <v>48</v>
      </c>
    </row>
    <row r="145" spans="3:3" x14ac:dyDescent="0.25">
      <c r="C145" s="2">
        <v>26</v>
      </c>
    </row>
    <row r="146" spans="3:3" x14ac:dyDescent="0.25">
      <c r="C146" s="2">
        <v>47</v>
      </c>
    </row>
    <row r="147" spans="3:3" x14ac:dyDescent="0.25">
      <c r="C147" s="2">
        <v>34</v>
      </c>
    </row>
    <row r="148" spans="3:3" x14ac:dyDescent="0.25">
      <c r="C148" s="2">
        <v>52</v>
      </c>
    </row>
    <row r="149" spans="3:3" x14ac:dyDescent="0.25">
      <c r="C149" s="2">
        <v>22</v>
      </c>
    </row>
    <row r="150" spans="3:3" x14ac:dyDescent="0.25">
      <c r="C150" s="2">
        <v>24</v>
      </c>
    </row>
    <row r="151" spans="3:3" x14ac:dyDescent="0.25">
      <c r="C151" s="2">
        <v>68</v>
      </c>
    </row>
    <row r="152" spans="3:3" x14ac:dyDescent="0.25">
      <c r="C152" s="2">
        <v>44</v>
      </c>
    </row>
    <row r="153" spans="3:3" x14ac:dyDescent="0.25">
      <c r="C153" s="2">
        <v>42</v>
      </c>
    </row>
    <row r="154" spans="3:3" x14ac:dyDescent="0.25">
      <c r="C154" s="2">
        <v>34</v>
      </c>
    </row>
    <row r="155" spans="3:3" x14ac:dyDescent="0.25">
      <c r="C155" s="2">
        <v>28</v>
      </c>
    </row>
    <row r="156" spans="3:3" x14ac:dyDescent="0.25">
      <c r="C156" s="2">
        <v>62</v>
      </c>
    </row>
    <row r="157" spans="3:3" x14ac:dyDescent="0.25">
      <c r="C157" s="2">
        <v>24</v>
      </c>
    </row>
    <row r="158" spans="3:3" x14ac:dyDescent="0.25">
      <c r="C158" s="2">
        <v>60</v>
      </c>
    </row>
    <row r="159" spans="3:3" x14ac:dyDescent="0.25">
      <c r="C159" s="2">
        <v>36</v>
      </c>
    </row>
    <row r="160" spans="3:3" x14ac:dyDescent="0.25">
      <c r="C160" s="2">
        <v>34</v>
      </c>
    </row>
    <row r="161" spans="3:3" x14ac:dyDescent="0.25">
      <c r="C161" s="2">
        <v>20</v>
      </c>
    </row>
    <row r="162" spans="3:3" x14ac:dyDescent="0.25">
      <c r="C162" s="2">
        <v>44</v>
      </c>
    </row>
    <row r="163" spans="3:3" x14ac:dyDescent="0.25">
      <c r="C163" s="2">
        <v>35</v>
      </c>
    </row>
    <row r="164" spans="3:3" x14ac:dyDescent="0.25">
      <c r="C164" s="2">
        <v>69</v>
      </c>
    </row>
    <row r="165" spans="3:3" x14ac:dyDescent="0.25">
      <c r="C165" s="2">
        <v>64</v>
      </c>
    </row>
    <row r="166" spans="3:3" x14ac:dyDescent="0.25">
      <c r="C166" s="2">
        <v>18</v>
      </c>
    </row>
    <row r="167" spans="3:3" x14ac:dyDescent="0.25">
      <c r="C167" s="2">
        <v>34</v>
      </c>
    </row>
    <row r="168" spans="3:3" x14ac:dyDescent="0.25">
      <c r="C168" s="2">
        <v>48</v>
      </c>
    </row>
    <row r="169" spans="3:3" x14ac:dyDescent="0.25">
      <c r="C169" s="2">
        <v>22</v>
      </c>
    </row>
    <row r="170" spans="3:3" x14ac:dyDescent="0.25">
      <c r="C170" s="2">
        <v>20</v>
      </c>
    </row>
    <row r="171" spans="3:3" x14ac:dyDescent="0.25">
      <c r="C171" s="2">
        <v>26</v>
      </c>
    </row>
    <row r="172" spans="3:3" x14ac:dyDescent="0.25">
      <c r="C172" s="2">
        <v>27</v>
      </c>
    </row>
    <row r="173" spans="3:3" x14ac:dyDescent="0.25">
      <c r="C173" s="2">
        <v>41</v>
      </c>
    </row>
    <row r="174" spans="3:3" x14ac:dyDescent="0.25">
      <c r="C174" s="2">
        <v>41</v>
      </c>
    </row>
    <row r="175" spans="3:3" x14ac:dyDescent="0.25">
      <c r="C175" s="2">
        <v>30</v>
      </c>
    </row>
    <row r="176" spans="3:3" x14ac:dyDescent="0.25">
      <c r="C176" s="2">
        <v>58</v>
      </c>
    </row>
    <row r="177" spans="3:3" x14ac:dyDescent="0.25">
      <c r="C177" s="2">
        <v>68</v>
      </c>
    </row>
    <row r="178" spans="3:3" x14ac:dyDescent="0.25">
      <c r="C178" s="2">
        <v>32</v>
      </c>
    </row>
    <row r="179" spans="3:3" x14ac:dyDescent="0.25">
      <c r="C179" s="2">
        <v>27</v>
      </c>
    </row>
    <row r="180" spans="3:3" x14ac:dyDescent="0.25">
      <c r="C180" s="2">
        <v>26</v>
      </c>
    </row>
    <row r="181" spans="3:3" x14ac:dyDescent="0.25">
      <c r="C181" s="2">
        <v>21</v>
      </c>
    </row>
    <row r="182" spans="3:3" x14ac:dyDescent="0.25">
      <c r="C182" s="2">
        <v>46</v>
      </c>
    </row>
    <row r="183" spans="3:3" x14ac:dyDescent="0.25">
      <c r="C183" s="2">
        <v>57</v>
      </c>
    </row>
    <row r="184" spans="3:3" x14ac:dyDescent="0.25">
      <c r="C184" s="2">
        <v>19</v>
      </c>
    </row>
    <row r="185" spans="3:3" x14ac:dyDescent="0.25">
      <c r="C185" s="2">
        <v>63</v>
      </c>
    </row>
    <row r="186" spans="3:3" x14ac:dyDescent="0.25">
      <c r="C186" s="2">
        <v>26</v>
      </c>
    </row>
    <row r="187" spans="3:3" x14ac:dyDescent="0.25">
      <c r="C187" s="2">
        <v>51</v>
      </c>
    </row>
    <row r="188" spans="3:3" x14ac:dyDescent="0.25">
      <c r="C188" s="2">
        <v>25</v>
      </c>
    </row>
    <row r="189" spans="3:3" x14ac:dyDescent="0.25">
      <c r="C189" s="2">
        <v>44</v>
      </c>
    </row>
    <row r="190" spans="3:3" x14ac:dyDescent="0.25">
      <c r="C190" s="2">
        <v>45</v>
      </c>
    </row>
    <row r="191" spans="3:3" x14ac:dyDescent="0.25">
      <c r="C191" s="2">
        <v>22</v>
      </c>
    </row>
    <row r="192" spans="3:3" x14ac:dyDescent="0.25">
      <c r="C192" s="2">
        <v>41</v>
      </c>
    </row>
    <row r="193" spans="3:3" x14ac:dyDescent="0.25">
      <c r="C193" s="2">
        <v>40</v>
      </c>
    </row>
    <row r="194" spans="3:3" x14ac:dyDescent="0.25">
      <c r="C194" s="2">
        <v>40</v>
      </c>
    </row>
    <row r="195" spans="3:3" x14ac:dyDescent="0.25">
      <c r="C195" s="2">
        <v>24</v>
      </c>
    </row>
    <row r="196" spans="3:3" x14ac:dyDescent="0.25">
      <c r="C196" s="2">
        <v>69</v>
      </c>
    </row>
    <row r="197" spans="3:3" x14ac:dyDescent="0.25">
      <c r="C197" s="2">
        <v>62</v>
      </c>
    </row>
    <row r="198" spans="3:3" x14ac:dyDescent="0.25">
      <c r="C198" s="2">
        <v>29</v>
      </c>
    </row>
    <row r="199" spans="3:3" x14ac:dyDescent="0.25">
      <c r="C199" s="2">
        <v>19</v>
      </c>
    </row>
    <row r="200" spans="3:3" x14ac:dyDescent="0.25">
      <c r="C200" s="2">
        <v>28</v>
      </c>
    </row>
    <row r="201" spans="3:3" x14ac:dyDescent="0.25">
      <c r="C201" s="2">
        <v>66</v>
      </c>
    </row>
    <row r="202" spans="3:3" x14ac:dyDescent="0.25">
      <c r="C202" s="2">
        <v>49</v>
      </c>
    </row>
    <row r="203" spans="3:3" x14ac:dyDescent="0.25">
      <c r="C203" s="2">
        <v>45</v>
      </c>
    </row>
    <row r="204" spans="3:3" x14ac:dyDescent="0.25">
      <c r="C204" s="2">
        <v>20</v>
      </c>
    </row>
    <row r="205" spans="3:3" x14ac:dyDescent="0.25">
      <c r="C205" s="2">
        <v>31</v>
      </c>
    </row>
    <row r="206" spans="3:3" x14ac:dyDescent="0.25">
      <c r="C206" s="2">
        <v>65</v>
      </c>
    </row>
    <row r="207" spans="3:3" x14ac:dyDescent="0.25">
      <c r="C207" s="2">
        <v>60</v>
      </c>
    </row>
    <row r="208" spans="3:3" x14ac:dyDescent="0.25">
      <c r="C208" s="2">
        <v>22</v>
      </c>
    </row>
    <row r="209" spans="3:3" x14ac:dyDescent="0.25">
      <c r="C209" s="2">
        <v>36</v>
      </c>
    </row>
    <row r="210" spans="3:3" x14ac:dyDescent="0.25">
      <c r="C210" s="2">
        <v>62</v>
      </c>
    </row>
    <row r="211" spans="3:3" x14ac:dyDescent="0.25">
      <c r="C211" s="2">
        <v>51</v>
      </c>
    </row>
    <row r="212" spans="3:3" x14ac:dyDescent="0.25">
      <c r="C212" s="2">
        <v>28</v>
      </c>
    </row>
    <row r="213" spans="3:3" x14ac:dyDescent="0.25">
      <c r="C213" s="2">
        <v>70</v>
      </c>
    </row>
    <row r="214" spans="3:3" x14ac:dyDescent="0.25">
      <c r="C214" s="2">
        <v>27</v>
      </c>
    </row>
    <row r="215" spans="3:3" x14ac:dyDescent="0.25">
      <c r="C215" s="2">
        <v>66</v>
      </c>
    </row>
    <row r="216" spans="3:3" x14ac:dyDescent="0.25">
      <c r="C216" s="2">
        <v>46</v>
      </c>
    </row>
    <row r="217" spans="3:3" x14ac:dyDescent="0.25">
      <c r="C217" s="2">
        <v>40</v>
      </c>
    </row>
    <row r="218" spans="3:3" x14ac:dyDescent="0.25">
      <c r="C218" s="2">
        <v>36</v>
      </c>
    </row>
    <row r="219" spans="3:3" x14ac:dyDescent="0.25">
      <c r="C219" s="2">
        <v>68</v>
      </c>
    </row>
    <row r="220" spans="3:3" x14ac:dyDescent="0.25">
      <c r="C220" s="2">
        <v>50</v>
      </c>
    </row>
    <row r="221" spans="3:3" x14ac:dyDescent="0.25">
      <c r="C221" s="2">
        <v>23</v>
      </c>
    </row>
    <row r="222" spans="3:3" x14ac:dyDescent="0.25">
      <c r="C222" s="2">
        <v>46</v>
      </c>
    </row>
    <row r="223" spans="3:3" x14ac:dyDescent="0.25">
      <c r="C223" s="2">
        <v>42</v>
      </c>
    </row>
    <row r="224" spans="3:3" x14ac:dyDescent="0.25">
      <c r="C224" s="2">
        <v>22</v>
      </c>
    </row>
    <row r="225" spans="3:3" x14ac:dyDescent="0.25">
      <c r="C225" s="2">
        <v>60</v>
      </c>
    </row>
    <row r="226" spans="3:3" x14ac:dyDescent="0.25">
      <c r="C226" s="2">
        <v>40</v>
      </c>
    </row>
    <row r="227" spans="3:3" x14ac:dyDescent="0.25">
      <c r="C227" s="2">
        <v>23</v>
      </c>
    </row>
    <row r="228" spans="3:3" x14ac:dyDescent="0.25">
      <c r="C228" s="2">
        <v>65</v>
      </c>
    </row>
    <row r="229" spans="3:3" x14ac:dyDescent="0.25">
      <c r="C229" s="2">
        <v>41</v>
      </c>
    </row>
    <row r="230" spans="3:3" x14ac:dyDescent="0.25">
      <c r="C230" s="2">
        <v>26</v>
      </c>
    </row>
    <row r="231" spans="3:3" x14ac:dyDescent="0.25">
      <c r="C231" s="2">
        <v>67</v>
      </c>
    </row>
    <row r="232" spans="3:3" x14ac:dyDescent="0.25">
      <c r="C232" s="2">
        <v>62</v>
      </c>
    </row>
    <row r="233" spans="3:3" x14ac:dyDescent="0.25">
      <c r="C233" s="2">
        <v>61</v>
      </c>
    </row>
    <row r="234" spans="3:3" x14ac:dyDescent="0.25">
      <c r="C234" s="2">
        <v>32</v>
      </c>
    </row>
    <row r="235" spans="3:3" x14ac:dyDescent="0.25">
      <c r="C235" s="2">
        <v>54</v>
      </c>
    </row>
    <row r="236" spans="3:3" x14ac:dyDescent="0.25">
      <c r="C236" s="2">
        <v>28</v>
      </c>
    </row>
    <row r="237" spans="3:3" x14ac:dyDescent="0.25">
      <c r="C237" s="2">
        <v>41</v>
      </c>
    </row>
    <row r="238" spans="3:3" x14ac:dyDescent="0.25">
      <c r="C238" s="2">
        <v>28</v>
      </c>
    </row>
    <row r="239" spans="3:3" x14ac:dyDescent="0.25">
      <c r="C239" s="2">
        <v>32</v>
      </c>
    </row>
    <row r="240" spans="3:3" x14ac:dyDescent="0.25">
      <c r="C240" s="2">
        <v>41</v>
      </c>
    </row>
    <row r="241" spans="3:3" x14ac:dyDescent="0.25">
      <c r="C241" s="2">
        <v>24</v>
      </c>
    </row>
    <row r="242" spans="3:3" x14ac:dyDescent="0.25">
      <c r="C242" s="2">
        <v>48</v>
      </c>
    </row>
    <row r="243" spans="3:3" x14ac:dyDescent="0.25">
      <c r="C243" s="2">
        <v>23</v>
      </c>
    </row>
    <row r="244" spans="3:3" x14ac:dyDescent="0.25">
      <c r="C244" s="2">
        <v>33</v>
      </c>
    </row>
    <row r="245" spans="3:3" x14ac:dyDescent="0.25">
      <c r="C245" s="2">
        <v>47</v>
      </c>
    </row>
    <row r="246" spans="3:3" x14ac:dyDescent="0.25">
      <c r="C246" s="2">
        <v>33</v>
      </c>
    </row>
    <row r="247" spans="3:3" x14ac:dyDescent="0.25">
      <c r="C247" s="2">
        <v>29</v>
      </c>
    </row>
    <row r="248" spans="3:3" x14ac:dyDescent="0.25">
      <c r="C248" s="2">
        <v>68</v>
      </c>
    </row>
    <row r="249" spans="3:3" x14ac:dyDescent="0.25">
      <c r="C249" s="2">
        <v>41</v>
      </c>
    </row>
    <row r="250" spans="3:3" x14ac:dyDescent="0.25">
      <c r="C250" s="2">
        <v>60</v>
      </c>
    </row>
    <row r="251" spans="3:3" x14ac:dyDescent="0.25">
      <c r="C251" s="2">
        <v>52</v>
      </c>
    </row>
    <row r="252" spans="3:3" x14ac:dyDescent="0.25">
      <c r="C252" s="2">
        <v>29</v>
      </c>
    </row>
    <row r="253" spans="3:3" x14ac:dyDescent="0.25">
      <c r="C253" s="2">
        <v>68</v>
      </c>
    </row>
    <row r="254" spans="3:3" x14ac:dyDescent="0.25">
      <c r="C254" s="2">
        <v>70</v>
      </c>
    </row>
    <row r="255" spans="3:3" x14ac:dyDescent="0.25">
      <c r="C255" s="2">
        <v>67</v>
      </c>
    </row>
    <row r="256" spans="3:3" x14ac:dyDescent="0.25">
      <c r="C256" s="2">
        <v>45</v>
      </c>
    </row>
    <row r="257" spans="3:3" x14ac:dyDescent="0.25">
      <c r="C257" s="2">
        <v>49</v>
      </c>
    </row>
    <row r="258" spans="3:3" x14ac:dyDescent="0.25">
      <c r="C258" s="2">
        <v>23</v>
      </c>
    </row>
    <row r="259" spans="3:3" x14ac:dyDescent="0.25">
      <c r="C259" s="2">
        <v>38</v>
      </c>
    </row>
    <row r="260" spans="3:3" x14ac:dyDescent="0.25">
      <c r="C260" s="2">
        <v>40</v>
      </c>
    </row>
    <row r="261" spans="3:3" x14ac:dyDescent="0.25">
      <c r="C261" s="2">
        <v>68</v>
      </c>
    </row>
    <row r="262" spans="3:3" x14ac:dyDescent="0.25">
      <c r="C262" s="2">
        <v>65</v>
      </c>
    </row>
    <row r="263" spans="3:3" x14ac:dyDescent="0.25">
      <c r="C263" s="2">
        <v>33</v>
      </c>
    </row>
    <row r="264" spans="3:3" x14ac:dyDescent="0.25">
      <c r="C264" s="2">
        <v>46</v>
      </c>
    </row>
    <row r="265" spans="3:3" x14ac:dyDescent="0.25">
      <c r="C265" s="2">
        <v>38</v>
      </c>
    </row>
    <row r="266" spans="3:3" x14ac:dyDescent="0.25">
      <c r="C266" s="2">
        <v>51</v>
      </c>
    </row>
    <row r="267" spans="3:3" x14ac:dyDescent="0.25">
      <c r="C267" s="2">
        <v>31</v>
      </c>
    </row>
    <row r="268" spans="3:3" x14ac:dyDescent="0.25">
      <c r="C268" s="2">
        <v>22</v>
      </c>
    </row>
    <row r="269" spans="3:3" x14ac:dyDescent="0.25">
      <c r="C269" s="2">
        <v>38</v>
      </c>
    </row>
    <row r="270" spans="3:3" x14ac:dyDescent="0.25">
      <c r="C270" s="2">
        <v>63</v>
      </c>
    </row>
    <row r="271" spans="3:3" x14ac:dyDescent="0.25">
      <c r="C271" s="2">
        <v>68</v>
      </c>
    </row>
    <row r="272" spans="3:3" x14ac:dyDescent="0.25">
      <c r="C272" s="2">
        <v>41</v>
      </c>
    </row>
    <row r="273" spans="3:3" x14ac:dyDescent="0.25">
      <c r="C273" s="2">
        <v>22</v>
      </c>
    </row>
    <row r="274" spans="3:3" x14ac:dyDescent="0.25">
      <c r="C274" s="2">
        <v>44</v>
      </c>
    </row>
    <row r="275" spans="3:3" x14ac:dyDescent="0.25">
      <c r="C275" s="2">
        <v>51</v>
      </c>
    </row>
    <row r="276" spans="3:3" x14ac:dyDescent="0.25">
      <c r="C276" s="2">
        <v>21</v>
      </c>
    </row>
    <row r="277" spans="3:3" x14ac:dyDescent="0.25">
      <c r="C277" s="2">
        <v>63</v>
      </c>
    </row>
    <row r="278" spans="3:3" x14ac:dyDescent="0.25">
      <c r="C278" s="2">
        <v>58</v>
      </c>
    </row>
    <row r="279" spans="3:3" x14ac:dyDescent="0.25">
      <c r="C279" s="2">
        <v>50</v>
      </c>
    </row>
    <row r="280" spans="3:3" x14ac:dyDescent="0.25">
      <c r="C280" s="2">
        <v>64</v>
      </c>
    </row>
    <row r="281" spans="3:3" x14ac:dyDescent="0.25">
      <c r="C281" s="2">
        <v>59</v>
      </c>
    </row>
    <row r="282" spans="3:3" x14ac:dyDescent="0.25">
      <c r="C282" s="2">
        <v>49</v>
      </c>
    </row>
    <row r="283" spans="3:3" x14ac:dyDescent="0.25">
      <c r="C283" s="2">
        <v>61</v>
      </c>
    </row>
    <row r="284" spans="3:3" x14ac:dyDescent="0.25">
      <c r="C284" s="2">
        <v>48</v>
      </c>
    </row>
    <row r="285" spans="3:3" x14ac:dyDescent="0.25">
      <c r="C285" s="2">
        <v>38</v>
      </c>
    </row>
    <row r="286" spans="3:3" x14ac:dyDescent="0.25">
      <c r="C286" s="2">
        <v>38</v>
      </c>
    </row>
    <row r="287" spans="3:3" x14ac:dyDescent="0.25">
      <c r="C287" s="2">
        <v>21</v>
      </c>
    </row>
    <row r="288" spans="3:3" x14ac:dyDescent="0.25">
      <c r="C288" s="2">
        <v>28</v>
      </c>
    </row>
    <row r="289" spans="3:3" x14ac:dyDescent="0.25">
      <c r="C289" s="2">
        <v>49</v>
      </c>
    </row>
    <row r="290" spans="3:3" x14ac:dyDescent="0.25">
      <c r="C290" s="2">
        <v>43</v>
      </c>
    </row>
    <row r="291" spans="3:3" x14ac:dyDescent="0.25">
      <c r="C291" s="2">
        <v>21</v>
      </c>
    </row>
    <row r="292" spans="3:3" x14ac:dyDescent="0.25">
      <c r="C292" s="2">
        <v>-5</v>
      </c>
    </row>
    <row r="293" spans="3:3" x14ac:dyDescent="0.25">
      <c r="C293" s="2">
        <v>200</v>
      </c>
    </row>
    <row r="294" spans="3:3" x14ac:dyDescent="0.25">
      <c r="C294" s="2">
        <v>30</v>
      </c>
    </row>
    <row r="296" spans="3:3" x14ac:dyDescent="0.25">
      <c r="C296">
        <v>45</v>
      </c>
    </row>
  </sheetData>
  <sortState xmlns:xlrd2="http://schemas.microsoft.com/office/spreadsheetml/2017/richdata2" ref="E2:E10">
    <sortCondition ref="E2"/>
  </sortState>
  <mergeCells count="1">
    <mergeCell ref="H22:M24"/>
  </mergeCells>
  <conditionalFormatting sqref="C297:C1048576">
    <cfRule type="duplicateValues" dxfId="0" priority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FCA2-5502-421A-B585-1B0C631844BE}">
  <dimension ref="A1:N73"/>
  <sheetViews>
    <sheetView topLeftCell="A2" workbookViewId="0">
      <selection activeCell="M11" sqref="M11"/>
    </sheetView>
  </sheetViews>
  <sheetFormatPr defaultRowHeight="15" x14ac:dyDescent="0.25"/>
  <cols>
    <col min="1" max="1" width="11.42578125" bestFit="1" customWidth="1"/>
    <col min="2" max="2" width="14.85546875" bestFit="1" customWidth="1"/>
    <col min="3" max="3" width="14.28515625" bestFit="1" customWidth="1"/>
    <col min="4" max="4" width="13.85546875" bestFit="1" customWidth="1"/>
    <col min="5" max="5" width="23.28515625" bestFit="1" customWidth="1"/>
    <col min="6" max="6" width="24.85546875" bestFit="1" customWidth="1"/>
    <col min="7" max="7" width="35.28515625" bestFit="1" customWidth="1"/>
    <col min="8" max="8" width="29.42578125" bestFit="1" customWidth="1"/>
    <col min="9" max="9" width="29.28515625" bestFit="1" customWidth="1"/>
    <col min="10" max="10" width="32.42578125" bestFit="1" customWidth="1"/>
    <col min="11" max="11" width="29.42578125" bestFit="1" customWidth="1"/>
    <col min="12" max="12" width="31.28515625" bestFit="1" customWidth="1"/>
    <col min="13" max="13" width="15.5703125" bestFit="1" customWidth="1"/>
    <col min="14" max="14" width="18" bestFit="1" customWidth="1"/>
  </cols>
  <sheetData>
    <row r="1" spans="1:14" x14ac:dyDescent="0.25">
      <c r="A1" t="s">
        <v>979</v>
      </c>
      <c r="B1" t="s">
        <v>980</v>
      </c>
      <c r="C1" t="s">
        <v>981</v>
      </c>
      <c r="D1" t="s">
        <v>982</v>
      </c>
      <c r="E1" t="s">
        <v>983</v>
      </c>
      <c r="F1" t="s">
        <v>984</v>
      </c>
      <c r="G1" t="s">
        <v>985</v>
      </c>
      <c r="H1" t="s">
        <v>986</v>
      </c>
      <c r="I1" t="s">
        <v>987</v>
      </c>
      <c r="J1" t="s">
        <v>988</v>
      </c>
      <c r="K1" t="s">
        <v>989</v>
      </c>
      <c r="L1" t="s">
        <v>990</v>
      </c>
      <c r="M1" t="s">
        <v>991</v>
      </c>
      <c r="N1" t="s">
        <v>992</v>
      </c>
    </row>
    <row r="2" spans="1:14" x14ac:dyDescent="0.25">
      <c r="A2" t="s">
        <v>993</v>
      </c>
      <c r="B2" t="s">
        <v>994</v>
      </c>
      <c r="C2">
        <v>25.9</v>
      </c>
      <c r="D2">
        <v>27</v>
      </c>
      <c r="E2">
        <v>103.99</v>
      </c>
      <c r="F2">
        <v>699.3</v>
      </c>
      <c r="G2">
        <v>8</v>
      </c>
      <c r="H2">
        <v>3</v>
      </c>
      <c r="I2">
        <v>4</v>
      </c>
      <c r="J2" t="s">
        <v>995</v>
      </c>
      <c r="K2" t="s">
        <v>996</v>
      </c>
      <c r="L2" t="s">
        <v>997</v>
      </c>
      <c r="M2">
        <f>ROUND((Usage_Data_Feedback[[#This Row],[Feedback.Overall_Satisfaction_Rating]]+Usage_Data_Feedback[[#This Row],[Feedback.Performance_Rating]]+Usage_Data_Feedback[[#This Row],[Feedback.Ease_of_Use_Rating]])/3,2)</f>
        <v>5</v>
      </c>
      <c r="N2" t="str">
        <f>IF(Usage_Data_Feedback[[#This Row],[Overall_Rating]]&gt;8,"HIGH", IF(Usage_Data_Feedback[[#This Row],[Overall_Rating]]&gt;5,"MEDIUM","LOW"))</f>
        <v>LOW</v>
      </c>
    </row>
    <row r="3" spans="1:14" x14ac:dyDescent="0.25">
      <c r="A3" t="s">
        <v>993</v>
      </c>
      <c r="B3" t="s">
        <v>998</v>
      </c>
      <c r="C3">
        <v>38.200000000000003</v>
      </c>
      <c r="D3">
        <v>7</v>
      </c>
      <c r="E3">
        <v>91.62</v>
      </c>
      <c r="F3">
        <v>267.39999999999998</v>
      </c>
      <c r="G3">
        <v>8</v>
      </c>
      <c r="H3">
        <v>3</v>
      </c>
      <c r="I3">
        <v>4</v>
      </c>
      <c r="J3" t="s">
        <v>995</v>
      </c>
      <c r="K3" t="s">
        <v>996</v>
      </c>
      <c r="L3" t="s">
        <v>997</v>
      </c>
      <c r="M3">
        <f>ROUND((Usage_Data_Feedback[[#This Row],[Feedback.Overall_Satisfaction_Rating]]+Usage_Data_Feedback[[#This Row],[Feedback.Performance_Rating]]+Usage_Data_Feedback[[#This Row],[Feedback.Ease_of_Use_Rating]])/3,2)</f>
        <v>5</v>
      </c>
      <c r="N3" t="str">
        <f>IF(Usage_Data_Feedback[[#This Row],[Overall_Rating]]&gt;8,"HIGH", IF(Usage_Data_Feedback[[#This Row],[Overall_Rating]]&gt;5,"MEDIUM","LOW"))</f>
        <v>LOW</v>
      </c>
    </row>
    <row r="4" spans="1:14" x14ac:dyDescent="0.25">
      <c r="A4" t="s">
        <v>993</v>
      </c>
      <c r="B4" t="s">
        <v>995</v>
      </c>
      <c r="C4">
        <v>34.49</v>
      </c>
      <c r="D4">
        <v>29</v>
      </c>
      <c r="E4">
        <v>23.27</v>
      </c>
      <c r="F4">
        <v>1000.21</v>
      </c>
      <c r="G4">
        <v>8</v>
      </c>
      <c r="H4">
        <v>3</v>
      </c>
      <c r="I4">
        <v>4</v>
      </c>
      <c r="J4" t="s">
        <v>995</v>
      </c>
      <c r="K4" t="s">
        <v>996</v>
      </c>
      <c r="L4" t="s">
        <v>997</v>
      </c>
      <c r="M4">
        <f>ROUND((Usage_Data_Feedback[[#This Row],[Feedback.Overall_Satisfaction_Rating]]+Usage_Data_Feedback[[#This Row],[Feedback.Performance_Rating]]+Usage_Data_Feedback[[#This Row],[Feedback.Ease_of_Use_Rating]])/3,2)</f>
        <v>5</v>
      </c>
      <c r="N4" t="str">
        <f>IF(Usage_Data_Feedback[[#This Row],[Overall_Rating]]&gt;8,"HIGH", IF(Usage_Data_Feedback[[#This Row],[Overall_Rating]]&gt;5,"MEDIUM","LOW"))</f>
        <v>LOW</v>
      </c>
    </row>
    <row r="5" spans="1:14" x14ac:dyDescent="0.25">
      <c r="A5" t="s">
        <v>993</v>
      </c>
      <c r="B5" t="s">
        <v>999</v>
      </c>
      <c r="C5">
        <v>21.12</v>
      </c>
      <c r="D5">
        <v>45</v>
      </c>
      <c r="E5">
        <v>79.94</v>
      </c>
      <c r="F5">
        <v>950.4</v>
      </c>
      <c r="G5">
        <v>8</v>
      </c>
      <c r="H5">
        <v>3</v>
      </c>
      <c r="I5">
        <v>4</v>
      </c>
      <c r="J5" t="s">
        <v>995</v>
      </c>
      <c r="K5" t="s">
        <v>996</v>
      </c>
      <c r="L5" t="s">
        <v>997</v>
      </c>
      <c r="M5">
        <f>ROUND((Usage_Data_Feedback[[#This Row],[Feedback.Overall_Satisfaction_Rating]]+Usage_Data_Feedback[[#This Row],[Feedback.Performance_Rating]]+Usage_Data_Feedback[[#This Row],[Feedback.Ease_of_Use_Rating]])/3,2)</f>
        <v>5</v>
      </c>
      <c r="N5" t="str">
        <f>IF(Usage_Data_Feedback[[#This Row],[Overall_Rating]]&gt;8,"HIGH", IF(Usage_Data_Feedback[[#This Row],[Overall_Rating]]&gt;5,"MEDIUM","LOW"))</f>
        <v>LOW</v>
      </c>
    </row>
    <row r="6" spans="1:14" x14ac:dyDescent="0.25">
      <c r="A6" t="s">
        <v>993</v>
      </c>
      <c r="B6" t="s">
        <v>1000</v>
      </c>
      <c r="C6">
        <v>52.39</v>
      </c>
      <c r="D6">
        <v>41</v>
      </c>
      <c r="E6">
        <v>35.19</v>
      </c>
      <c r="F6">
        <v>2147.9899999999998</v>
      </c>
      <c r="G6">
        <v>8</v>
      </c>
      <c r="H6">
        <v>3</v>
      </c>
      <c r="I6">
        <v>4</v>
      </c>
      <c r="J6" t="s">
        <v>995</v>
      </c>
      <c r="K6" t="s">
        <v>996</v>
      </c>
      <c r="L6" t="s">
        <v>997</v>
      </c>
      <c r="M6">
        <f>ROUND((Usage_Data_Feedback[[#This Row],[Feedback.Overall_Satisfaction_Rating]]+Usage_Data_Feedback[[#This Row],[Feedback.Performance_Rating]]+Usage_Data_Feedback[[#This Row],[Feedback.Ease_of_Use_Rating]])/3,2)</f>
        <v>5</v>
      </c>
      <c r="N6" t="str">
        <f>IF(Usage_Data_Feedback[[#This Row],[Overall_Rating]]&gt;8,"HIGH", IF(Usage_Data_Feedback[[#This Row],[Overall_Rating]]&gt;5,"MEDIUM","LOW"))</f>
        <v>LOW</v>
      </c>
    </row>
    <row r="7" spans="1:14" x14ac:dyDescent="0.25">
      <c r="A7" t="s">
        <v>993</v>
      </c>
      <c r="B7" t="s">
        <v>1001</v>
      </c>
      <c r="C7">
        <v>8.83</v>
      </c>
      <c r="D7">
        <v>47</v>
      </c>
      <c r="E7">
        <v>38.93</v>
      </c>
      <c r="F7">
        <v>415.01</v>
      </c>
      <c r="G7">
        <v>8</v>
      </c>
      <c r="H7">
        <v>3</v>
      </c>
      <c r="I7">
        <v>4</v>
      </c>
      <c r="J7" t="s">
        <v>995</v>
      </c>
      <c r="K7" t="s">
        <v>996</v>
      </c>
      <c r="L7" t="s">
        <v>997</v>
      </c>
      <c r="M7">
        <f>ROUND((Usage_Data_Feedback[[#This Row],[Feedback.Overall_Satisfaction_Rating]]+Usage_Data_Feedback[[#This Row],[Feedback.Performance_Rating]]+Usage_Data_Feedback[[#This Row],[Feedback.Ease_of_Use_Rating]])/3,2)</f>
        <v>5</v>
      </c>
      <c r="N7" t="str">
        <f>IF(Usage_Data_Feedback[[#This Row],[Overall_Rating]]&gt;8,"HIGH", IF(Usage_Data_Feedback[[#This Row],[Overall_Rating]]&gt;5,"MEDIUM","LOW"))</f>
        <v>LOW</v>
      </c>
    </row>
    <row r="8" spans="1:14" x14ac:dyDescent="0.25">
      <c r="A8" t="s">
        <v>1002</v>
      </c>
      <c r="B8" t="s">
        <v>994</v>
      </c>
      <c r="C8">
        <v>20.92</v>
      </c>
      <c r="D8">
        <v>10</v>
      </c>
      <c r="E8">
        <v>104.81</v>
      </c>
      <c r="F8">
        <v>209.2</v>
      </c>
      <c r="G8">
        <v>10</v>
      </c>
      <c r="H8">
        <v>9</v>
      </c>
      <c r="I8">
        <v>1</v>
      </c>
      <c r="J8" t="s">
        <v>1001</v>
      </c>
      <c r="K8" t="s">
        <v>1003</v>
      </c>
      <c r="L8" t="s">
        <v>997</v>
      </c>
      <c r="M8">
        <f>ROUND((Usage_Data_Feedback[[#This Row],[Feedback.Overall_Satisfaction_Rating]]+Usage_Data_Feedback[[#This Row],[Feedback.Performance_Rating]]+Usage_Data_Feedback[[#This Row],[Feedback.Ease_of_Use_Rating]])/3,2)</f>
        <v>6.67</v>
      </c>
      <c r="N8" t="str">
        <f>IF(Usage_Data_Feedback[[#This Row],[Overall_Rating]]&gt;8,"HIGH", IF(Usage_Data_Feedback[[#This Row],[Overall_Rating]]&gt;5,"MEDIUM","LOW"))</f>
        <v>MEDIUM</v>
      </c>
    </row>
    <row r="9" spans="1:14" x14ac:dyDescent="0.25">
      <c r="A9" t="s">
        <v>1002</v>
      </c>
      <c r="B9" t="s">
        <v>998</v>
      </c>
      <c r="C9">
        <v>52.66</v>
      </c>
      <c r="D9">
        <v>29</v>
      </c>
      <c r="E9">
        <v>44.19</v>
      </c>
      <c r="F9">
        <v>1527.14</v>
      </c>
      <c r="G9">
        <v>10</v>
      </c>
      <c r="H9">
        <v>9</v>
      </c>
      <c r="I9">
        <v>1</v>
      </c>
      <c r="J9" t="s">
        <v>1001</v>
      </c>
      <c r="K9" t="s">
        <v>1003</v>
      </c>
      <c r="L9" t="s">
        <v>997</v>
      </c>
      <c r="M9">
        <f>ROUND((Usage_Data_Feedback[[#This Row],[Feedback.Overall_Satisfaction_Rating]]+Usage_Data_Feedback[[#This Row],[Feedback.Performance_Rating]]+Usage_Data_Feedback[[#This Row],[Feedback.Ease_of_Use_Rating]])/3,2)</f>
        <v>6.67</v>
      </c>
      <c r="N9" t="str">
        <f>IF(Usage_Data_Feedback[[#This Row],[Overall_Rating]]&gt;8,"HIGH", IF(Usage_Data_Feedback[[#This Row],[Overall_Rating]]&gt;5,"MEDIUM","LOW"))</f>
        <v>MEDIUM</v>
      </c>
    </row>
    <row r="10" spans="1:14" x14ac:dyDescent="0.25">
      <c r="A10" t="s">
        <v>1002</v>
      </c>
      <c r="B10" t="s">
        <v>995</v>
      </c>
      <c r="C10">
        <v>39.96</v>
      </c>
      <c r="D10">
        <v>28</v>
      </c>
      <c r="E10">
        <v>32.08</v>
      </c>
      <c r="F10">
        <v>1118.8800000000001</v>
      </c>
      <c r="G10">
        <v>10</v>
      </c>
      <c r="H10">
        <v>9</v>
      </c>
      <c r="I10">
        <v>1</v>
      </c>
      <c r="J10" t="s">
        <v>1001</v>
      </c>
      <c r="K10" t="s">
        <v>1003</v>
      </c>
      <c r="L10" t="s">
        <v>997</v>
      </c>
      <c r="M10">
        <f>ROUND((Usage_Data_Feedback[[#This Row],[Feedback.Overall_Satisfaction_Rating]]+Usage_Data_Feedback[[#This Row],[Feedback.Performance_Rating]]+Usage_Data_Feedback[[#This Row],[Feedback.Ease_of_Use_Rating]])/3,2)</f>
        <v>6.67</v>
      </c>
      <c r="N10" t="str">
        <f>IF(Usage_Data_Feedback[[#This Row],[Overall_Rating]]&gt;8,"HIGH", IF(Usage_Data_Feedback[[#This Row],[Overall_Rating]]&gt;5,"MEDIUM","LOW"))</f>
        <v>MEDIUM</v>
      </c>
    </row>
    <row r="11" spans="1:14" x14ac:dyDescent="0.25">
      <c r="A11" t="s">
        <v>1002</v>
      </c>
      <c r="B11" t="s">
        <v>999</v>
      </c>
      <c r="C11">
        <v>24.54</v>
      </c>
      <c r="D11">
        <v>47</v>
      </c>
      <c r="E11">
        <v>43.03</v>
      </c>
      <c r="F11">
        <v>1153.3800000000001</v>
      </c>
      <c r="G11">
        <v>10</v>
      </c>
      <c r="H11">
        <v>9</v>
      </c>
      <c r="I11">
        <v>1</v>
      </c>
      <c r="J11" t="s">
        <v>1001</v>
      </c>
      <c r="K11" t="s">
        <v>1003</v>
      </c>
      <c r="L11" t="s">
        <v>997</v>
      </c>
      <c r="M11">
        <f>ROUND((Usage_Data_Feedback[[#This Row],[Feedback.Overall_Satisfaction_Rating]]+Usage_Data_Feedback[[#This Row],[Feedback.Performance_Rating]]+Usage_Data_Feedback[[#This Row],[Feedback.Ease_of_Use_Rating]])/3,2)</f>
        <v>6.67</v>
      </c>
      <c r="N11" t="str">
        <f>IF(Usage_Data_Feedback[[#This Row],[Overall_Rating]]&gt;8,"HIGH", IF(Usage_Data_Feedback[[#This Row],[Overall_Rating]]&gt;5,"MEDIUM","LOW"))</f>
        <v>MEDIUM</v>
      </c>
    </row>
    <row r="12" spans="1:14" x14ac:dyDescent="0.25">
      <c r="A12" t="s">
        <v>1002</v>
      </c>
      <c r="B12" t="s">
        <v>1000</v>
      </c>
      <c r="C12">
        <v>56.52</v>
      </c>
      <c r="D12">
        <v>46</v>
      </c>
      <c r="E12">
        <v>22.5</v>
      </c>
      <c r="F12">
        <v>2599.92</v>
      </c>
      <c r="G12">
        <v>10</v>
      </c>
      <c r="H12">
        <v>9</v>
      </c>
      <c r="I12">
        <v>1</v>
      </c>
      <c r="J12" t="s">
        <v>1001</v>
      </c>
      <c r="K12" t="s">
        <v>1003</v>
      </c>
      <c r="L12" t="s">
        <v>997</v>
      </c>
      <c r="M12">
        <f>ROUND((Usage_Data_Feedback[[#This Row],[Feedback.Overall_Satisfaction_Rating]]+Usage_Data_Feedback[[#This Row],[Feedback.Performance_Rating]]+Usage_Data_Feedback[[#This Row],[Feedback.Ease_of_Use_Rating]])/3,2)</f>
        <v>6.67</v>
      </c>
      <c r="N12" t="str">
        <f>IF(Usage_Data_Feedback[[#This Row],[Overall_Rating]]&gt;8,"HIGH", IF(Usage_Data_Feedback[[#This Row],[Overall_Rating]]&gt;5,"MEDIUM","LOW"))</f>
        <v>MEDIUM</v>
      </c>
    </row>
    <row r="13" spans="1:14" x14ac:dyDescent="0.25">
      <c r="A13" t="s">
        <v>1002</v>
      </c>
      <c r="B13" t="s">
        <v>1001</v>
      </c>
      <c r="C13">
        <v>39.92</v>
      </c>
      <c r="D13">
        <v>39</v>
      </c>
      <c r="E13">
        <v>91.56</v>
      </c>
      <c r="F13">
        <v>1556.88</v>
      </c>
      <c r="G13">
        <v>10</v>
      </c>
      <c r="H13">
        <v>9</v>
      </c>
      <c r="I13">
        <v>1</v>
      </c>
      <c r="J13" t="s">
        <v>1001</v>
      </c>
      <c r="K13" t="s">
        <v>1003</v>
      </c>
      <c r="L13" t="s">
        <v>997</v>
      </c>
      <c r="M13">
        <f>ROUND((Usage_Data_Feedback[[#This Row],[Feedback.Overall_Satisfaction_Rating]]+Usage_Data_Feedback[[#This Row],[Feedback.Performance_Rating]]+Usage_Data_Feedback[[#This Row],[Feedback.Ease_of_Use_Rating]])/3,2)</f>
        <v>6.67</v>
      </c>
      <c r="N13" t="str">
        <f>IF(Usage_Data_Feedback[[#This Row],[Overall_Rating]]&gt;8,"HIGH", IF(Usage_Data_Feedback[[#This Row],[Overall_Rating]]&gt;5,"MEDIUM","LOW"))</f>
        <v>MEDIUM</v>
      </c>
    </row>
    <row r="14" spans="1:14" x14ac:dyDescent="0.25">
      <c r="A14" t="s">
        <v>1004</v>
      </c>
      <c r="B14" t="s">
        <v>994</v>
      </c>
      <c r="C14">
        <v>13.99</v>
      </c>
      <c r="D14">
        <v>29</v>
      </c>
      <c r="E14">
        <v>43.34</v>
      </c>
      <c r="F14">
        <v>405.71</v>
      </c>
      <c r="G14">
        <v>1</v>
      </c>
      <c r="H14">
        <v>10</v>
      </c>
      <c r="I14">
        <v>8</v>
      </c>
      <c r="J14" t="s">
        <v>1000</v>
      </c>
      <c r="K14" t="s">
        <v>996</v>
      </c>
      <c r="L14" t="s">
        <v>997</v>
      </c>
      <c r="M14">
        <f>ROUND((Usage_Data_Feedback[[#This Row],[Feedback.Overall_Satisfaction_Rating]]+Usage_Data_Feedback[[#This Row],[Feedback.Performance_Rating]]+Usage_Data_Feedback[[#This Row],[Feedback.Ease_of_Use_Rating]])/3,2)</f>
        <v>6.33</v>
      </c>
      <c r="N14" t="str">
        <f>IF(Usage_Data_Feedback[[#This Row],[Overall_Rating]]&gt;8,"HIGH", IF(Usage_Data_Feedback[[#This Row],[Overall_Rating]]&gt;5,"MEDIUM","LOW"))</f>
        <v>MEDIUM</v>
      </c>
    </row>
    <row r="15" spans="1:14" x14ac:dyDescent="0.25">
      <c r="A15" t="s">
        <v>1004</v>
      </c>
      <c r="B15" t="s">
        <v>998</v>
      </c>
      <c r="C15">
        <v>55.9</v>
      </c>
      <c r="D15">
        <v>49</v>
      </c>
      <c r="E15">
        <v>73.48</v>
      </c>
      <c r="F15">
        <v>2739.1</v>
      </c>
      <c r="G15">
        <v>1</v>
      </c>
      <c r="H15">
        <v>10</v>
      </c>
      <c r="I15">
        <v>8</v>
      </c>
      <c r="J15" t="s">
        <v>1000</v>
      </c>
      <c r="K15" t="s">
        <v>996</v>
      </c>
      <c r="L15" t="s">
        <v>997</v>
      </c>
      <c r="M15">
        <f>ROUND((Usage_Data_Feedback[[#This Row],[Feedback.Overall_Satisfaction_Rating]]+Usage_Data_Feedback[[#This Row],[Feedback.Performance_Rating]]+Usage_Data_Feedback[[#This Row],[Feedback.Ease_of_Use_Rating]])/3,2)</f>
        <v>6.33</v>
      </c>
      <c r="N15" t="str">
        <f>IF(Usage_Data_Feedback[[#This Row],[Overall_Rating]]&gt;8,"HIGH", IF(Usage_Data_Feedback[[#This Row],[Overall_Rating]]&gt;5,"MEDIUM","LOW"))</f>
        <v>MEDIUM</v>
      </c>
    </row>
    <row r="16" spans="1:14" x14ac:dyDescent="0.25">
      <c r="A16" t="s">
        <v>1004</v>
      </c>
      <c r="B16" t="s">
        <v>995</v>
      </c>
      <c r="C16">
        <v>42.65</v>
      </c>
      <c r="D16">
        <v>8</v>
      </c>
      <c r="E16">
        <v>39.049999999999997</v>
      </c>
      <c r="F16">
        <v>341.2</v>
      </c>
      <c r="G16">
        <v>1</v>
      </c>
      <c r="H16">
        <v>10</v>
      </c>
      <c r="I16">
        <v>8</v>
      </c>
      <c r="J16" t="s">
        <v>1000</v>
      </c>
      <c r="K16" t="s">
        <v>996</v>
      </c>
      <c r="L16" t="s">
        <v>997</v>
      </c>
      <c r="M16">
        <f>ROUND((Usage_Data_Feedback[[#This Row],[Feedback.Overall_Satisfaction_Rating]]+Usage_Data_Feedback[[#This Row],[Feedback.Performance_Rating]]+Usage_Data_Feedback[[#This Row],[Feedback.Ease_of_Use_Rating]])/3,2)</f>
        <v>6.33</v>
      </c>
      <c r="N16" t="str">
        <f>IF(Usage_Data_Feedback[[#This Row],[Overall_Rating]]&gt;8,"HIGH", IF(Usage_Data_Feedback[[#This Row],[Overall_Rating]]&gt;5,"MEDIUM","LOW"))</f>
        <v>MEDIUM</v>
      </c>
    </row>
    <row r="17" spans="1:14" x14ac:dyDescent="0.25">
      <c r="A17" t="s">
        <v>1004</v>
      </c>
      <c r="B17" t="s">
        <v>999</v>
      </c>
      <c r="C17">
        <v>6.77</v>
      </c>
      <c r="D17">
        <v>25</v>
      </c>
      <c r="E17">
        <v>57.12</v>
      </c>
      <c r="F17">
        <v>169.25</v>
      </c>
      <c r="G17">
        <v>1</v>
      </c>
      <c r="H17">
        <v>10</v>
      </c>
      <c r="I17">
        <v>8</v>
      </c>
      <c r="J17" t="s">
        <v>1000</v>
      </c>
      <c r="K17" t="s">
        <v>996</v>
      </c>
      <c r="L17" t="s">
        <v>997</v>
      </c>
      <c r="M17">
        <f>ROUND((Usage_Data_Feedback[[#This Row],[Feedback.Overall_Satisfaction_Rating]]+Usage_Data_Feedback[[#This Row],[Feedback.Performance_Rating]]+Usage_Data_Feedback[[#This Row],[Feedback.Ease_of_Use_Rating]])/3,2)</f>
        <v>6.33</v>
      </c>
      <c r="N17" t="str">
        <f>IF(Usage_Data_Feedback[[#This Row],[Overall_Rating]]&gt;8,"HIGH", IF(Usage_Data_Feedback[[#This Row],[Overall_Rating]]&gt;5,"MEDIUM","LOW"))</f>
        <v>MEDIUM</v>
      </c>
    </row>
    <row r="18" spans="1:14" x14ac:dyDescent="0.25">
      <c r="A18" t="s">
        <v>1004</v>
      </c>
      <c r="B18" t="s">
        <v>1000</v>
      </c>
      <c r="C18">
        <v>8.64</v>
      </c>
      <c r="D18">
        <v>41</v>
      </c>
      <c r="E18">
        <v>107.02</v>
      </c>
      <c r="F18">
        <v>354.24</v>
      </c>
      <c r="G18">
        <v>1</v>
      </c>
      <c r="H18">
        <v>10</v>
      </c>
      <c r="I18">
        <v>8</v>
      </c>
      <c r="J18" t="s">
        <v>1000</v>
      </c>
      <c r="K18" t="s">
        <v>996</v>
      </c>
      <c r="L18" t="s">
        <v>997</v>
      </c>
      <c r="M18">
        <f>ROUND((Usage_Data_Feedback[[#This Row],[Feedback.Overall_Satisfaction_Rating]]+Usage_Data_Feedback[[#This Row],[Feedback.Performance_Rating]]+Usage_Data_Feedback[[#This Row],[Feedback.Ease_of_Use_Rating]])/3,2)</f>
        <v>6.33</v>
      </c>
      <c r="N18" t="str">
        <f>IF(Usage_Data_Feedback[[#This Row],[Overall_Rating]]&gt;8,"HIGH", IF(Usage_Data_Feedback[[#This Row],[Overall_Rating]]&gt;5,"MEDIUM","LOW"))</f>
        <v>MEDIUM</v>
      </c>
    </row>
    <row r="19" spans="1:14" x14ac:dyDescent="0.25">
      <c r="A19" t="s">
        <v>1004</v>
      </c>
      <c r="B19" t="s">
        <v>1001</v>
      </c>
      <c r="C19">
        <v>22.31</v>
      </c>
      <c r="D19">
        <v>46</v>
      </c>
      <c r="E19">
        <v>67.42</v>
      </c>
      <c r="F19">
        <v>1026.26</v>
      </c>
      <c r="G19">
        <v>1</v>
      </c>
      <c r="H19">
        <v>10</v>
      </c>
      <c r="I19">
        <v>8</v>
      </c>
      <c r="J19" t="s">
        <v>1000</v>
      </c>
      <c r="K19" t="s">
        <v>996</v>
      </c>
      <c r="L19" t="s">
        <v>997</v>
      </c>
      <c r="M19">
        <f>ROUND((Usage_Data_Feedback[[#This Row],[Feedback.Overall_Satisfaction_Rating]]+Usage_Data_Feedback[[#This Row],[Feedback.Performance_Rating]]+Usage_Data_Feedback[[#This Row],[Feedback.Ease_of_Use_Rating]])/3,2)</f>
        <v>6.33</v>
      </c>
      <c r="N19" t="str">
        <f>IF(Usage_Data_Feedback[[#This Row],[Overall_Rating]]&gt;8,"HIGH", IF(Usage_Data_Feedback[[#This Row],[Overall_Rating]]&gt;5,"MEDIUM","LOW"))</f>
        <v>MEDIUM</v>
      </c>
    </row>
    <row r="20" spans="1:14" x14ac:dyDescent="0.25">
      <c r="A20" t="s">
        <v>1005</v>
      </c>
      <c r="B20" t="s">
        <v>994</v>
      </c>
      <c r="C20">
        <v>53.66</v>
      </c>
      <c r="D20">
        <v>46</v>
      </c>
      <c r="E20">
        <v>63.18</v>
      </c>
      <c r="F20">
        <v>2468.36</v>
      </c>
      <c r="G20">
        <v>9</v>
      </c>
      <c r="H20">
        <v>2</v>
      </c>
      <c r="I20">
        <v>3</v>
      </c>
      <c r="J20" t="s">
        <v>994</v>
      </c>
      <c r="K20" t="s">
        <v>996</v>
      </c>
      <c r="L20" t="s">
        <v>1006</v>
      </c>
      <c r="M20">
        <f>ROUND((Usage_Data_Feedback[[#This Row],[Feedback.Overall_Satisfaction_Rating]]+Usage_Data_Feedback[[#This Row],[Feedback.Performance_Rating]]+Usage_Data_Feedback[[#This Row],[Feedback.Ease_of_Use_Rating]])/3,2)</f>
        <v>4.67</v>
      </c>
      <c r="N20" t="str">
        <f>IF(Usage_Data_Feedback[[#This Row],[Overall_Rating]]&gt;8,"HIGH", IF(Usage_Data_Feedback[[#This Row],[Overall_Rating]]&gt;5,"MEDIUM","LOW"))</f>
        <v>LOW</v>
      </c>
    </row>
    <row r="21" spans="1:14" x14ac:dyDescent="0.25">
      <c r="A21" t="s">
        <v>1005</v>
      </c>
      <c r="B21" t="s">
        <v>998</v>
      </c>
      <c r="C21">
        <v>19.57</v>
      </c>
      <c r="D21">
        <v>20</v>
      </c>
      <c r="E21">
        <v>93.22</v>
      </c>
      <c r="F21">
        <v>391.4</v>
      </c>
      <c r="G21">
        <v>9</v>
      </c>
      <c r="H21">
        <v>2</v>
      </c>
      <c r="I21">
        <v>3</v>
      </c>
      <c r="J21" t="s">
        <v>994</v>
      </c>
      <c r="K21" t="s">
        <v>996</v>
      </c>
      <c r="L21" t="s">
        <v>1006</v>
      </c>
      <c r="M21">
        <f>ROUND((Usage_Data_Feedback[[#This Row],[Feedback.Overall_Satisfaction_Rating]]+Usage_Data_Feedback[[#This Row],[Feedback.Performance_Rating]]+Usage_Data_Feedback[[#This Row],[Feedback.Ease_of_Use_Rating]])/3,2)</f>
        <v>4.67</v>
      </c>
      <c r="N21" t="str">
        <f>IF(Usage_Data_Feedback[[#This Row],[Overall_Rating]]&gt;8,"HIGH", IF(Usage_Data_Feedback[[#This Row],[Overall_Rating]]&gt;5,"MEDIUM","LOW"))</f>
        <v>LOW</v>
      </c>
    </row>
    <row r="22" spans="1:14" x14ac:dyDescent="0.25">
      <c r="A22" t="s">
        <v>1005</v>
      </c>
      <c r="B22" t="s">
        <v>995</v>
      </c>
      <c r="C22">
        <v>34.64</v>
      </c>
      <c r="D22">
        <v>42</v>
      </c>
      <c r="E22">
        <v>59.99</v>
      </c>
      <c r="F22">
        <v>1454.88</v>
      </c>
      <c r="G22">
        <v>9</v>
      </c>
      <c r="H22">
        <v>2</v>
      </c>
      <c r="I22">
        <v>3</v>
      </c>
      <c r="J22" t="s">
        <v>994</v>
      </c>
      <c r="K22" t="s">
        <v>996</v>
      </c>
      <c r="L22" t="s">
        <v>1006</v>
      </c>
      <c r="M22">
        <f>ROUND((Usage_Data_Feedback[[#This Row],[Feedback.Overall_Satisfaction_Rating]]+Usage_Data_Feedback[[#This Row],[Feedback.Performance_Rating]]+Usage_Data_Feedback[[#This Row],[Feedback.Ease_of_Use_Rating]])/3,2)</f>
        <v>4.67</v>
      </c>
      <c r="N22" t="str">
        <f>IF(Usage_Data_Feedback[[#This Row],[Overall_Rating]]&gt;8,"HIGH", IF(Usage_Data_Feedback[[#This Row],[Overall_Rating]]&gt;5,"MEDIUM","LOW"))</f>
        <v>LOW</v>
      </c>
    </row>
    <row r="23" spans="1:14" x14ac:dyDescent="0.25">
      <c r="A23" t="s">
        <v>1005</v>
      </c>
      <c r="B23" t="s">
        <v>999</v>
      </c>
      <c r="C23">
        <v>37.090000000000003</v>
      </c>
      <c r="D23">
        <v>28</v>
      </c>
      <c r="E23">
        <v>38.03</v>
      </c>
      <c r="F23">
        <v>1038.52</v>
      </c>
      <c r="G23">
        <v>9</v>
      </c>
      <c r="H23">
        <v>2</v>
      </c>
      <c r="I23">
        <v>3</v>
      </c>
      <c r="J23" t="s">
        <v>994</v>
      </c>
      <c r="K23" t="s">
        <v>996</v>
      </c>
      <c r="L23" t="s">
        <v>1006</v>
      </c>
      <c r="M23">
        <f>ROUND((Usage_Data_Feedback[[#This Row],[Feedback.Overall_Satisfaction_Rating]]+Usage_Data_Feedback[[#This Row],[Feedback.Performance_Rating]]+Usage_Data_Feedback[[#This Row],[Feedback.Ease_of_Use_Rating]])/3,2)</f>
        <v>4.67</v>
      </c>
      <c r="N23" t="str">
        <f>IF(Usage_Data_Feedback[[#This Row],[Overall_Rating]]&gt;8,"HIGH", IF(Usage_Data_Feedback[[#This Row],[Overall_Rating]]&gt;5,"MEDIUM","LOW"))</f>
        <v>LOW</v>
      </c>
    </row>
    <row r="24" spans="1:14" x14ac:dyDescent="0.25">
      <c r="A24" t="s">
        <v>1005</v>
      </c>
      <c r="B24" t="s">
        <v>1000</v>
      </c>
      <c r="C24">
        <v>59.86</v>
      </c>
      <c r="D24">
        <v>37</v>
      </c>
      <c r="E24">
        <v>66.819999999999993</v>
      </c>
      <c r="F24">
        <v>2214.8200000000002</v>
      </c>
      <c r="G24">
        <v>9</v>
      </c>
      <c r="H24">
        <v>2</v>
      </c>
      <c r="I24">
        <v>3</v>
      </c>
      <c r="J24" t="s">
        <v>994</v>
      </c>
      <c r="K24" t="s">
        <v>996</v>
      </c>
      <c r="L24" t="s">
        <v>1006</v>
      </c>
      <c r="M24">
        <f>ROUND((Usage_Data_Feedback[[#This Row],[Feedback.Overall_Satisfaction_Rating]]+Usage_Data_Feedback[[#This Row],[Feedback.Performance_Rating]]+Usage_Data_Feedback[[#This Row],[Feedback.Ease_of_Use_Rating]])/3,2)</f>
        <v>4.67</v>
      </c>
      <c r="N24" t="str">
        <f>IF(Usage_Data_Feedback[[#This Row],[Overall_Rating]]&gt;8,"HIGH", IF(Usage_Data_Feedback[[#This Row],[Overall_Rating]]&gt;5,"MEDIUM","LOW"))</f>
        <v>LOW</v>
      </c>
    </row>
    <row r="25" spans="1:14" x14ac:dyDescent="0.25">
      <c r="A25" t="s">
        <v>1005</v>
      </c>
      <c r="B25" t="s">
        <v>1001</v>
      </c>
      <c r="C25">
        <v>46.57</v>
      </c>
      <c r="D25">
        <v>12</v>
      </c>
      <c r="E25">
        <v>31.05</v>
      </c>
      <c r="F25">
        <v>558.84</v>
      </c>
      <c r="G25">
        <v>9</v>
      </c>
      <c r="H25">
        <v>2</v>
      </c>
      <c r="I25">
        <v>3</v>
      </c>
      <c r="J25" t="s">
        <v>994</v>
      </c>
      <c r="K25" t="s">
        <v>996</v>
      </c>
      <c r="L25" t="s">
        <v>1006</v>
      </c>
      <c r="M25">
        <f>ROUND((Usage_Data_Feedback[[#This Row],[Feedback.Overall_Satisfaction_Rating]]+Usage_Data_Feedback[[#This Row],[Feedback.Performance_Rating]]+Usage_Data_Feedback[[#This Row],[Feedback.Ease_of_Use_Rating]])/3,2)</f>
        <v>4.67</v>
      </c>
      <c r="N25" t="str">
        <f>IF(Usage_Data_Feedback[[#This Row],[Overall_Rating]]&gt;8,"HIGH", IF(Usage_Data_Feedback[[#This Row],[Overall_Rating]]&gt;5,"MEDIUM","LOW"))</f>
        <v>LOW</v>
      </c>
    </row>
    <row r="26" spans="1:14" x14ac:dyDescent="0.25">
      <c r="A26" t="s">
        <v>1007</v>
      </c>
      <c r="B26" t="s">
        <v>994</v>
      </c>
      <c r="C26">
        <v>13.8</v>
      </c>
      <c r="D26">
        <v>48</v>
      </c>
      <c r="E26">
        <v>59.33</v>
      </c>
      <c r="F26">
        <v>662.4</v>
      </c>
      <c r="G26">
        <v>7</v>
      </c>
      <c r="H26">
        <v>2</v>
      </c>
      <c r="I26">
        <v>10</v>
      </c>
      <c r="J26" t="s">
        <v>998</v>
      </c>
      <c r="K26" t="s">
        <v>996</v>
      </c>
      <c r="L26" t="s">
        <v>1008</v>
      </c>
      <c r="M26">
        <f>ROUND((Usage_Data_Feedback[[#This Row],[Feedback.Overall_Satisfaction_Rating]]+Usage_Data_Feedback[[#This Row],[Feedback.Performance_Rating]]+Usage_Data_Feedback[[#This Row],[Feedback.Ease_of_Use_Rating]])/3,2)</f>
        <v>6.33</v>
      </c>
      <c r="N26" t="str">
        <f>IF(Usage_Data_Feedback[[#This Row],[Overall_Rating]]&gt;8,"HIGH", IF(Usage_Data_Feedback[[#This Row],[Overall_Rating]]&gt;5,"MEDIUM","LOW"))</f>
        <v>MEDIUM</v>
      </c>
    </row>
    <row r="27" spans="1:14" x14ac:dyDescent="0.25">
      <c r="A27" t="s">
        <v>1007</v>
      </c>
      <c r="B27" t="s">
        <v>998</v>
      </c>
      <c r="C27">
        <v>8.49</v>
      </c>
      <c r="D27">
        <v>29</v>
      </c>
      <c r="E27">
        <v>77.569999999999993</v>
      </c>
      <c r="F27">
        <v>246.21</v>
      </c>
      <c r="G27">
        <v>7</v>
      </c>
      <c r="H27">
        <v>2</v>
      </c>
      <c r="I27">
        <v>10</v>
      </c>
      <c r="J27" t="s">
        <v>998</v>
      </c>
      <c r="K27" t="s">
        <v>996</v>
      </c>
      <c r="L27" t="s">
        <v>1008</v>
      </c>
      <c r="M27">
        <f>ROUND((Usage_Data_Feedback[[#This Row],[Feedback.Overall_Satisfaction_Rating]]+Usage_Data_Feedback[[#This Row],[Feedback.Performance_Rating]]+Usage_Data_Feedback[[#This Row],[Feedback.Ease_of_Use_Rating]])/3,2)</f>
        <v>6.33</v>
      </c>
      <c r="N27" t="str">
        <f>IF(Usage_Data_Feedback[[#This Row],[Overall_Rating]]&gt;8,"HIGH", IF(Usage_Data_Feedback[[#This Row],[Overall_Rating]]&gt;5,"MEDIUM","LOW"))</f>
        <v>MEDIUM</v>
      </c>
    </row>
    <row r="28" spans="1:14" x14ac:dyDescent="0.25">
      <c r="A28" t="s">
        <v>1007</v>
      </c>
      <c r="B28" t="s">
        <v>995</v>
      </c>
      <c r="C28">
        <v>30.74</v>
      </c>
      <c r="D28">
        <v>21</v>
      </c>
      <c r="E28">
        <v>116.96</v>
      </c>
      <c r="F28">
        <v>645.54</v>
      </c>
      <c r="G28">
        <v>7</v>
      </c>
      <c r="H28">
        <v>2</v>
      </c>
      <c r="I28">
        <v>10</v>
      </c>
      <c r="J28" t="s">
        <v>998</v>
      </c>
      <c r="K28" t="s">
        <v>996</v>
      </c>
      <c r="L28" t="s">
        <v>1008</v>
      </c>
      <c r="M28">
        <f>ROUND((Usage_Data_Feedback[[#This Row],[Feedback.Overall_Satisfaction_Rating]]+Usage_Data_Feedback[[#This Row],[Feedback.Performance_Rating]]+Usage_Data_Feedback[[#This Row],[Feedback.Ease_of_Use_Rating]])/3,2)</f>
        <v>6.33</v>
      </c>
      <c r="N28" t="str">
        <f>IF(Usage_Data_Feedback[[#This Row],[Overall_Rating]]&gt;8,"HIGH", IF(Usage_Data_Feedback[[#This Row],[Overall_Rating]]&gt;5,"MEDIUM","LOW"))</f>
        <v>MEDIUM</v>
      </c>
    </row>
    <row r="29" spans="1:14" x14ac:dyDescent="0.25">
      <c r="A29" t="s">
        <v>1007</v>
      </c>
      <c r="B29" t="s">
        <v>999</v>
      </c>
      <c r="C29">
        <v>52.34</v>
      </c>
      <c r="D29">
        <v>5</v>
      </c>
      <c r="E29">
        <v>86.43</v>
      </c>
      <c r="F29">
        <v>261.7</v>
      </c>
      <c r="G29">
        <v>7</v>
      </c>
      <c r="H29">
        <v>2</v>
      </c>
      <c r="I29">
        <v>10</v>
      </c>
      <c r="J29" t="s">
        <v>998</v>
      </c>
      <c r="K29" t="s">
        <v>996</v>
      </c>
      <c r="L29" t="s">
        <v>1008</v>
      </c>
      <c r="M29">
        <f>ROUND((Usage_Data_Feedback[[#This Row],[Feedback.Overall_Satisfaction_Rating]]+Usage_Data_Feedback[[#This Row],[Feedback.Performance_Rating]]+Usage_Data_Feedback[[#This Row],[Feedback.Ease_of_Use_Rating]])/3,2)</f>
        <v>6.33</v>
      </c>
      <c r="N29" t="str">
        <f>IF(Usage_Data_Feedback[[#This Row],[Overall_Rating]]&gt;8,"HIGH", IF(Usage_Data_Feedback[[#This Row],[Overall_Rating]]&gt;5,"MEDIUM","LOW"))</f>
        <v>MEDIUM</v>
      </c>
    </row>
    <row r="30" spans="1:14" x14ac:dyDescent="0.25">
      <c r="A30" t="s">
        <v>1007</v>
      </c>
      <c r="B30" t="s">
        <v>1000</v>
      </c>
      <c r="C30">
        <v>11.3</v>
      </c>
      <c r="D30">
        <v>39</v>
      </c>
      <c r="E30">
        <v>93.84</v>
      </c>
      <c r="F30">
        <v>440.7</v>
      </c>
      <c r="G30">
        <v>7</v>
      </c>
      <c r="H30">
        <v>2</v>
      </c>
      <c r="I30">
        <v>10</v>
      </c>
      <c r="J30" t="s">
        <v>998</v>
      </c>
      <c r="K30" t="s">
        <v>996</v>
      </c>
      <c r="L30" t="s">
        <v>1008</v>
      </c>
      <c r="M30">
        <f>ROUND((Usage_Data_Feedback[[#This Row],[Feedback.Overall_Satisfaction_Rating]]+Usage_Data_Feedback[[#This Row],[Feedback.Performance_Rating]]+Usage_Data_Feedback[[#This Row],[Feedback.Ease_of_Use_Rating]])/3,2)</f>
        <v>6.33</v>
      </c>
      <c r="N30" t="str">
        <f>IF(Usage_Data_Feedback[[#This Row],[Overall_Rating]]&gt;8,"HIGH", IF(Usage_Data_Feedback[[#This Row],[Overall_Rating]]&gt;5,"MEDIUM","LOW"))</f>
        <v>MEDIUM</v>
      </c>
    </row>
    <row r="31" spans="1:14" x14ac:dyDescent="0.25">
      <c r="A31" t="s">
        <v>1007</v>
      </c>
      <c r="B31" t="s">
        <v>1001</v>
      </c>
      <c r="C31">
        <v>47.27</v>
      </c>
      <c r="D31">
        <v>26</v>
      </c>
      <c r="E31">
        <v>26.71</v>
      </c>
      <c r="F31">
        <v>1229.02</v>
      </c>
      <c r="G31">
        <v>7</v>
      </c>
      <c r="H31">
        <v>2</v>
      </c>
      <c r="I31">
        <v>10</v>
      </c>
      <c r="J31" t="s">
        <v>998</v>
      </c>
      <c r="K31" t="s">
        <v>996</v>
      </c>
      <c r="L31" t="s">
        <v>1008</v>
      </c>
      <c r="M31">
        <f>ROUND((Usage_Data_Feedback[[#This Row],[Feedback.Overall_Satisfaction_Rating]]+Usage_Data_Feedback[[#This Row],[Feedback.Performance_Rating]]+Usage_Data_Feedback[[#This Row],[Feedback.Ease_of_Use_Rating]])/3,2)</f>
        <v>6.33</v>
      </c>
      <c r="N31" t="str">
        <f>IF(Usage_Data_Feedback[[#This Row],[Overall_Rating]]&gt;8,"HIGH", IF(Usage_Data_Feedback[[#This Row],[Overall_Rating]]&gt;5,"MEDIUM","LOW"))</f>
        <v>MEDIUM</v>
      </c>
    </row>
    <row r="32" spans="1:14" x14ac:dyDescent="0.25">
      <c r="A32" t="s">
        <v>1009</v>
      </c>
      <c r="B32" t="s">
        <v>994</v>
      </c>
      <c r="C32">
        <v>28.91</v>
      </c>
      <c r="D32">
        <v>34</v>
      </c>
      <c r="E32">
        <v>15.34</v>
      </c>
      <c r="F32">
        <v>982.94</v>
      </c>
      <c r="G32">
        <v>2</v>
      </c>
      <c r="H32">
        <v>7</v>
      </c>
      <c r="I32">
        <v>10</v>
      </c>
      <c r="J32" t="s">
        <v>1000</v>
      </c>
      <c r="K32" t="s">
        <v>1003</v>
      </c>
      <c r="L32" t="s">
        <v>1010</v>
      </c>
      <c r="M32">
        <f>ROUND((Usage_Data_Feedback[[#This Row],[Feedback.Overall_Satisfaction_Rating]]+Usage_Data_Feedback[[#This Row],[Feedback.Performance_Rating]]+Usage_Data_Feedback[[#This Row],[Feedback.Ease_of_Use_Rating]])/3,2)</f>
        <v>6.33</v>
      </c>
      <c r="N32" t="str">
        <f>IF(Usage_Data_Feedback[[#This Row],[Overall_Rating]]&gt;8,"HIGH", IF(Usage_Data_Feedback[[#This Row],[Overall_Rating]]&gt;5,"MEDIUM","LOW"))</f>
        <v>MEDIUM</v>
      </c>
    </row>
    <row r="33" spans="1:14" x14ac:dyDescent="0.25">
      <c r="A33" t="s">
        <v>1009</v>
      </c>
      <c r="B33" t="s">
        <v>998</v>
      </c>
      <c r="C33">
        <v>44.72</v>
      </c>
      <c r="D33">
        <v>21</v>
      </c>
      <c r="E33">
        <v>117.05</v>
      </c>
      <c r="F33">
        <v>939.12</v>
      </c>
      <c r="G33">
        <v>2</v>
      </c>
      <c r="H33">
        <v>7</v>
      </c>
      <c r="I33">
        <v>10</v>
      </c>
      <c r="J33" t="s">
        <v>1000</v>
      </c>
      <c r="K33" t="s">
        <v>1003</v>
      </c>
      <c r="L33" t="s">
        <v>1010</v>
      </c>
      <c r="M33">
        <f>ROUND((Usage_Data_Feedback[[#This Row],[Feedback.Overall_Satisfaction_Rating]]+Usage_Data_Feedback[[#This Row],[Feedback.Performance_Rating]]+Usage_Data_Feedback[[#This Row],[Feedback.Ease_of_Use_Rating]])/3,2)</f>
        <v>6.33</v>
      </c>
      <c r="N33" t="str">
        <f>IF(Usage_Data_Feedback[[#This Row],[Overall_Rating]]&gt;8,"HIGH", IF(Usage_Data_Feedback[[#This Row],[Overall_Rating]]&gt;5,"MEDIUM","LOW"))</f>
        <v>MEDIUM</v>
      </c>
    </row>
    <row r="34" spans="1:14" x14ac:dyDescent="0.25">
      <c r="A34" t="s">
        <v>1009</v>
      </c>
      <c r="B34" t="s">
        <v>995</v>
      </c>
      <c r="C34">
        <v>46.91</v>
      </c>
      <c r="D34">
        <v>37</v>
      </c>
      <c r="E34">
        <v>110.83</v>
      </c>
      <c r="F34">
        <v>1735.67</v>
      </c>
      <c r="G34">
        <v>2</v>
      </c>
      <c r="H34">
        <v>7</v>
      </c>
      <c r="I34">
        <v>10</v>
      </c>
      <c r="J34" t="s">
        <v>1000</v>
      </c>
      <c r="K34" t="s">
        <v>1003</v>
      </c>
      <c r="L34" t="s">
        <v>1010</v>
      </c>
      <c r="M34">
        <f>ROUND((Usage_Data_Feedback[[#This Row],[Feedback.Overall_Satisfaction_Rating]]+Usage_Data_Feedback[[#This Row],[Feedback.Performance_Rating]]+Usage_Data_Feedback[[#This Row],[Feedback.Ease_of_Use_Rating]])/3,2)</f>
        <v>6.33</v>
      </c>
      <c r="N34" t="str">
        <f>IF(Usage_Data_Feedback[[#This Row],[Overall_Rating]]&gt;8,"HIGH", IF(Usage_Data_Feedback[[#This Row],[Overall_Rating]]&gt;5,"MEDIUM","LOW"))</f>
        <v>MEDIUM</v>
      </c>
    </row>
    <row r="35" spans="1:14" x14ac:dyDescent="0.25">
      <c r="A35" t="s">
        <v>1009</v>
      </c>
      <c r="B35" t="s">
        <v>999</v>
      </c>
      <c r="C35">
        <v>52.88</v>
      </c>
      <c r="D35">
        <v>24</v>
      </c>
      <c r="E35">
        <v>103.38</v>
      </c>
      <c r="F35">
        <v>1269.1199999999999</v>
      </c>
      <c r="G35">
        <v>2</v>
      </c>
      <c r="H35">
        <v>7</v>
      </c>
      <c r="I35">
        <v>10</v>
      </c>
      <c r="J35" t="s">
        <v>1000</v>
      </c>
      <c r="K35" t="s">
        <v>1003</v>
      </c>
      <c r="L35" t="s">
        <v>1010</v>
      </c>
      <c r="M35">
        <f>ROUND((Usage_Data_Feedback[[#This Row],[Feedback.Overall_Satisfaction_Rating]]+Usage_Data_Feedback[[#This Row],[Feedback.Performance_Rating]]+Usage_Data_Feedback[[#This Row],[Feedback.Ease_of_Use_Rating]])/3,2)</f>
        <v>6.33</v>
      </c>
      <c r="N35" t="str">
        <f>IF(Usage_Data_Feedback[[#This Row],[Overall_Rating]]&gt;8,"HIGH", IF(Usage_Data_Feedback[[#This Row],[Overall_Rating]]&gt;5,"MEDIUM","LOW"))</f>
        <v>MEDIUM</v>
      </c>
    </row>
    <row r="36" spans="1:14" x14ac:dyDescent="0.25">
      <c r="A36" t="s">
        <v>1009</v>
      </c>
      <c r="B36" t="s">
        <v>1000</v>
      </c>
      <c r="C36">
        <v>32.92</v>
      </c>
      <c r="D36">
        <v>17</v>
      </c>
      <c r="E36">
        <v>31.05</v>
      </c>
      <c r="F36">
        <v>559.64</v>
      </c>
      <c r="G36">
        <v>2</v>
      </c>
      <c r="H36">
        <v>7</v>
      </c>
      <c r="I36">
        <v>10</v>
      </c>
      <c r="J36" t="s">
        <v>1000</v>
      </c>
      <c r="K36" t="s">
        <v>1003</v>
      </c>
      <c r="L36" t="s">
        <v>1010</v>
      </c>
      <c r="M36">
        <f>ROUND((Usage_Data_Feedback[[#This Row],[Feedback.Overall_Satisfaction_Rating]]+Usage_Data_Feedback[[#This Row],[Feedback.Performance_Rating]]+Usage_Data_Feedback[[#This Row],[Feedback.Ease_of_Use_Rating]])/3,2)</f>
        <v>6.33</v>
      </c>
      <c r="N36" t="str">
        <f>IF(Usage_Data_Feedback[[#This Row],[Overall_Rating]]&gt;8,"HIGH", IF(Usage_Data_Feedback[[#This Row],[Overall_Rating]]&gt;5,"MEDIUM","LOW"))</f>
        <v>MEDIUM</v>
      </c>
    </row>
    <row r="37" spans="1:14" x14ac:dyDescent="0.25">
      <c r="A37" t="s">
        <v>1009</v>
      </c>
      <c r="B37" t="s">
        <v>1001</v>
      </c>
      <c r="C37">
        <v>46.94</v>
      </c>
      <c r="D37">
        <v>39</v>
      </c>
      <c r="E37">
        <v>115.12</v>
      </c>
      <c r="F37">
        <v>1830.66</v>
      </c>
      <c r="G37">
        <v>2</v>
      </c>
      <c r="H37">
        <v>7</v>
      </c>
      <c r="I37">
        <v>10</v>
      </c>
      <c r="J37" t="s">
        <v>1000</v>
      </c>
      <c r="K37" t="s">
        <v>1003</v>
      </c>
      <c r="L37" t="s">
        <v>1010</v>
      </c>
      <c r="M37">
        <f>ROUND((Usage_Data_Feedback[[#This Row],[Feedback.Overall_Satisfaction_Rating]]+Usage_Data_Feedback[[#This Row],[Feedback.Performance_Rating]]+Usage_Data_Feedback[[#This Row],[Feedback.Ease_of_Use_Rating]])/3,2)</f>
        <v>6.33</v>
      </c>
      <c r="N37" t="str">
        <f>IF(Usage_Data_Feedback[[#This Row],[Overall_Rating]]&gt;8,"HIGH", IF(Usage_Data_Feedback[[#This Row],[Overall_Rating]]&gt;5,"MEDIUM","LOW"))</f>
        <v>MEDIUM</v>
      </c>
    </row>
    <row r="38" spans="1:14" x14ac:dyDescent="0.25">
      <c r="A38" t="s">
        <v>1011</v>
      </c>
      <c r="B38" t="s">
        <v>994</v>
      </c>
      <c r="C38">
        <v>55.73</v>
      </c>
      <c r="D38">
        <v>5</v>
      </c>
      <c r="E38">
        <v>77.89</v>
      </c>
      <c r="F38">
        <v>278.64999999999998</v>
      </c>
      <c r="G38">
        <v>4</v>
      </c>
      <c r="H38">
        <v>6</v>
      </c>
      <c r="I38">
        <v>4</v>
      </c>
      <c r="J38" t="s">
        <v>995</v>
      </c>
      <c r="K38" t="s">
        <v>1003</v>
      </c>
      <c r="L38" t="s">
        <v>1006</v>
      </c>
      <c r="M38">
        <f>ROUND((Usage_Data_Feedback[[#This Row],[Feedback.Overall_Satisfaction_Rating]]+Usage_Data_Feedback[[#This Row],[Feedback.Performance_Rating]]+Usage_Data_Feedback[[#This Row],[Feedback.Ease_of_Use_Rating]])/3,2)</f>
        <v>4.67</v>
      </c>
      <c r="N38" t="str">
        <f>IF(Usage_Data_Feedback[[#This Row],[Overall_Rating]]&gt;8,"HIGH", IF(Usage_Data_Feedback[[#This Row],[Overall_Rating]]&gt;5,"MEDIUM","LOW"))</f>
        <v>LOW</v>
      </c>
    </row>
    <row r="39" spans="1:14" x14ac:dyDescent="0.25">
      <c r="A39" t="s">
        <v>1011</v>
      </c>
      <c r="B39" t="s">
        <v>998</v>
      </c>
      <c r="C39">
        <v>31.87</v>
      </c>
      <c r="D39">
        <v>12</v>
      </c>
      <c r="E39">
        <v>112.56</v>
      </c>
      <c r="F39">
        <v>382.44</v>
      </c>
      <c r="G39">
        <v>4</v>
      </c>
      <c r="H39">
        <v>6</v>
      </c>
      <c r="I39">
        <v>4</v>
      </c>
      <c r="J39" t="s">
        <v>995</v>
      </c>
      <c r="K39" t="s">
        <v>1003</v>
      </c>
      <c r="L39" t="s">
        <v>1006</v>
      </c>
      <c r="M39">
        <f>ROUND((Usage_Data_Feedback[[#This Row],[Feedback.Overall_Satisfaction_Rating]]+Usage_Data_Feedback[[#This Row],[Feedback.Performance_Rating]]+Usage_Data_Feedback[[#This Row],[Feedback.Ease_of_Use_Rating]])/3,2)</f>
        <v>4.67</v>
      </c>
      <c r="N39" t="str">
        <f>IF(Usage_Data_Feedback[[#This Row],[Overall_Rating]]&gt;8,"HIGH", IF(Usage_Data_Feedback[[#This Row],[Overall_Rating]]&gt;5,"MEDIUM","LOW"))</f>
        <v>LOW</v>
      </c>
    </row>
    <row r="40" spans="1:14" x14ac:dyDescent="0.25">
      <c r="A40" t="s">
        <v>1011</v>
      </c>
      <c r="B40" t="s">
        <v>995</v>
      </c>
      <c r="C40">
        <v>53.33</v>
      </c>
      <c r="D40">
        <v>24</v>
      </c>
      <c r="E40">
        <v>40.14</v>
      </c>
      <c r="F40">
        <v>1279.92</v>
      </c>
      <c r="G40">
        <v>4</v>
      </c>
      <c r="H40">
        <v>6</v>
      </c>
      <c r="I40">
        <v>4</v>
      </c>
      <c r="J40" t="s">
        <v>995</v>
      </c>
      <c r="K40" t="s">
        <v>1003</v>
      </c>
      <c r="L40" t="s">
        <v>1006</v>
      </c>
      <c r="M40">
        <f>ROUND((Usage_Data_Feedback[[#This Row],[Feedback.Overall_Satisfaction_Rating]]+Usage_Data_Feedback[[#This Row],[Feedback.Performance_Rating]]+Usage_Data_Feedback[[#This Row],[Feedback.Ease_of_Use_Rating]])/3,2)</f>
        <v>4.67</v>
      </c>
      <c r="N40" t="str">
        <f>IF(Usage_Data_Feedback[[#This Row],[Overall_Rating]]&gt;8,"HIGH", IF(Usage_Data_Feedback[[#This Row],[Overall_Rating]]&gt;5,"MEDIUM","LOW"))</f>
        <v>LOW</v>
      </c>
    </row>
    <row r="41" spans="1:14" x14ac:dyDescent="0.25">
      <c r="A41" t="s">
        <v>1011</v>
      </c>
      <c r="B41" t="s">
        <v>999</v>
      </c>
      <c r="C41">
        <v>18.25</v>
      </c>
      <c r="D41">
        <v>41</v>
      </c>
      <c r="E41">
        <v>114.43</v>
      </c>
      <c r="F41">
        <v>748.25</v>
      </c>
      <c r="G41">
        <v>4</v>
      </c>
      <c r="H41">
        <v>6</v>
      </c>
      <c r="I41">
        <v>4</v>
      </c>
      <c r="J41" t="s">
        <v>995</v>
      </c>
      <c r="K41" t="s">
        <v>1003</v>
      </c>
      <c r="L41" t="s">
        <v>1006</v>
      </c>
      <c r="M41">
        <f>ROUND((Usage_Data_Feedback[[#This Row],[Feedback.Overall_Satisfaction_Rating]]+Usage_Data_Feedback[[#This Row],[Feedback.Performance_Rating]]+Usage_Data_Feedback[[#This Row],[Feedback.Ease_of_Use_Rating]])/3,2)</f>
        <v>4.67</v>
      </c>
      <c r="N41" t="str">
        <f>IF(Usage_Data_Feedback[[#This Row],[Overall_Rating]]&gt;8,"HIGH", IF(Usage_Data_Feedback[[#This Row],[Overall_Rating]]&gt;5,"MEDIUM","LOW"))</f>
        <v>LOW</v>
      </c>
    </row>
    <row r="42" spans="1:14" x14ac:dyDescent="0.25">
      <c r="A42" t="s">
        <v>1011</v>
      </c>
      <c r="B42" t="s">
        <v>1000</v>
      </c>
      <c r="C42">
        <v>9.7100000000000009</v>
      </c>
      <c r="D42">
        <v>36</v>
      </c>
      <c r="E42">
        <v>100.68</v>
      </c>
      <c r="F42">
        <v>349.56</v>
      </c>
      <c r="G42">
        <v>4</v>
      </c>
      <c r="H42">
        <v>6</v>
      </c>
      <c r="I42">
        <v>4</v>
      </c>
      <c r="J42" t="s">
        <v>995</v>
      </c>
      <c r="K42" t="s">
        <v>1003</v>
      </c>
      <c r="L42" t="s">
        <v>1006</v>
      </c>
      <c r="M42">
        <f>ROUND((Usage_Data_Feedback[[#This Row],[Feedback.Overall_Satisfaction_Rating]]+Usage_Data_Feedback[[#This Row],[Feedback.Performance_Rating]]+Usage_Data_Feedback[[#This Row],[Feedback.Ease_of_Use_Rating]])/3,2)</f>
        <v>4.67</v>
      </c>
      <c r="N42" t="str">
        <f>IF(Usage_Data_Feedback[[#This Row],[Overall_Rating]]&gt;8,"HIGH", IF(Usage_Data_Feedback[[#This Row],[Overall_Rating]]&gt;5,"MEDIUM","LOW"))</f>
        <v>LOW</v>
      </c>
    </row>
    <row r="43" spans="1:14" x14ac:dyDescent="0.25">
      <c r="A43" t="s">
        <v>1011</v>
      </c>
      <c r="B43" t="s">
        <v>1001</v>
      </c>
      <c r="C43">
        <v>58.79</v>
      </c>
      <c r="D43">
        <v>39</v>
      </c>
      <c r="E43">
        <v>95.41</v>
      </c>
      <c r="F43">
        <v>2292.81</v>
      </c>
      <c r="G43">
        <v>4</v>
      </c>
      <c r="H43">
        <v>6</v>
      </c>
      <c r="I43">
        <v>4</v>
      </c>
      <c r="J43" t="s">
        <v>995</v>
      </c>
      <c r="K43" t="s">
        <v>1003</v>
      </c>
      <c r="L43" t="s">
        <v>1006</v>
      </c>
      <c r="M43">
        <f>ROUND((Usage_Data_Feedback[[#This Row],[Feedback.Overall_Satisfaction_Rating]]+Usage_Data_Feedback[[#This Row],[Feedback.Performance_Rating]]+Usage_Data_Feedback[[#This Row],[Feedback.Ease_of_Use_Rating]])/3,2)</f>
        <v>4.67</v>
      </c>
      <c r="N43" t="str">
        <f>IF(Usage_Data_Feedback[[#This Row],[Overall_Rating]]&gt;8,"HIGH", IF(Usage_Data_Feedback[[#This Row],[Overall_Rating]]&gt;5,"MEDIUM","LOW"))</f>
        <v>LOW</v>
      </c>
    </row>
    <row r="44" spans="1:14" x14ac:dyDescent="0.25">
      <c r="A44" t="s">
        <v>1012</v>
      </c>
      <c r="B44" t="s">
        <v>994</v>
      </c>
      <c r="C44">
        <v>12.06</v>
      </c>
      <c r="D44">
        <v>35</v>
      </c>
      <c r="E44">
        <v>114.42</v>
      </c>
      <c r="F44">
        <v>422.1</v>
      </c>
      <c r="G44">
        <v>5</v>
      </c>
      <c r="H44">
        <v>8</v>
      </c>
      <c r="I44">
        <v>6</v>
      </c>
      <c r="J44" t="s">
        <v>994</v>
      </c>
      <c r="K44" t="s">
        <v>996</v>
      </c>
      <c r="L44" t="s">
        <v>1013</v>
      </c>
      <c r="M44">
        <f>ROUND((Usage_Data_Feedback[[#This Row],[Feedback.Overall_Satisfaction_Rating]]+Usage_Data_Feedback[[#This Row],[Feedback.Performance_Rating]]+Usage_Data_Feedback[[#This Row],[Feedback.Ease_of_Use_Rating]])/3,2)</f>
        <v>6.33</v>
      </c>
      <c r="N44" t="str">
        <f>IF(Usage_Data_Feedback[[#This Row],[Overall_Rating]]&gt;8,"HIGH", IF(Usage_Data_Feedback[[#This Row],[Overall_Rating]]&gt;5,"MEDIUM","LOW"))</f>
        <v>MEDIUM</v>
      </c>
    </row>
    <row r="45" spans="1:14" x14ac:dyDescent="0.25">
      <c r="A45" t="s">
        <v>1012</v>
      </c>
      <c r="B45" t="s">
        <v>998</v>
      </c>
      <c r="C45">
        <v>14.08</v>
      </c>
      <c r="D45">
        <v>38</v>
      </c>
      <c r="E45">
        <v>106.61</v>
      </c>
      <c r="F45">
        <v>535.04</v>
      </c>
      <c r="G45">
        <v>5</v>
      </c>
      <c r="H45">
        <v>8</v>
      </c>
      <c r="I45">
        <v>6</v>
      </c>
      <c r="J45" t="s">
        <v>994</v>
      </c>
      <c r="K45" t="s">
        <v>996</v>
      </c>
      <c r="L45" t="s">
        <v>1013</v>
      </c>
      <c r="M45">
        <f>ROUND((Usage_Data_Feedback[[#This Row],[Feedback.Overall_Satisfaction_Rating]]+Usage_Data_Feedback[[#This Row],[Feedback.Performance_Rating]]+Usage_Data_Feedback[[#This Row],[Feedback.Ease_of_Use_Rating]])/3,2)</f>
        <v>6.33</v>
      </c>
      <c r="N45" t="str">
        <f>IF(Usage_Data_Feedback[[#This Row],[Overall_Rating]]&gt;8,"HIGH", IF(Usage_Data_Feedback[[#This Row],[Overall_Rating]]&gt;5,"MEDIUM","LOW"))</f>
        <v>MEDIUM</v>
      </c>
    </row>
    <row r="46" spans="1:14" x14ac:dyDescent="0.25">
      <c r="A46" t="s">
        <v>1012</v>
      </c>
      <c r="B46" t="s">
        <v>995</v>
      </c>
      <c r="C46">
        <v>28.27</v>
      </c>
      <c r="D46">
        <v>18</v>
      </c>
      <c r="E46">
        <v>112.54</v>
      </c>
      <c r="F46">
        <v>508.86</v>
      </c>
      <c r="G46">
        <v>5</v>
      </c>
      <c r="H46">
        <v>8</v>
      </c>
      <c r="I46">
        <v>6</v>
      </c>
      <c r="J46" t="s">
        <v>994</v>
      </c>
      <c r="K46" t="s">
        <v>996</v>
      </c>
      <c r="L46" t="s">
        <v>1013</v>
      </c>
      <c r="M46">
        <f>ROUND((Usage_Data_Feedback[[#This Row],[Feedback.Overall_Satisfaction_Rating]]+Usage_Data_Feedback[[#This Row],[Feedback.Performance_Rating]]+Usage_Data_Feedback[[#This Row],[Feedback.Ease_of_Use_Rating]])/3,2)</f>
        <v>6.33</v>
      </c>
      <c r="N46" t="str">
        <f>IF(Usage_Data_Feedback[[#This Row],[Overall_Rating]]&gt;8,"HIGH", IF(Usage_Data_Feedback[[#This Row],[Overall_Rating]]&gt;5,"MEDIUM","LOW"))</f>
        <v>MEDIUM</v>
      </c>
    </row>
    <row r="47" spans="1:14" x14ac:dyDescent="0.25">
      <c r="A47" t="s">
        <v>1012</v>
      </c>
      <c r="B47" t="s">
        <v>999</v>
      </c>
      <c r="C47">
        <v>46.54</v>
      </c>
      <c r="D47">
        <v>49</v>
      </c>
      <c r="E47">
        <v>36.119999999999997</v>
      </c>
      <c r="F47">
        <v>2280.46</v>
      </c>
      <c r="G47">
        <v>5</v>
      </c>
      <c r="H47">
        <v>8</v>
      </c>
      <c r="I47">
        <v>6</v>
      </c>
      <c r="J47" t="s">
        <v>994</v>
      </c>
      <c r="K47" t="s">
        <v>996</v>
      </c>
      <c r="L47" t="s">
        <v>1013</v>
      </c>
      <c r="M47">
        <f>ROUND((Usage_Data_Feedback[[#This Row],[Feedback.Overall_Satisfaction_Rating]]+Usage_Data_Feedback[[#This Row],[Feedback.Performance_Rating]]+Usage_Data_Feedback[[#This Row],[Feedback.Ease_of_Use_Rating]])/3,2)</f>
        <v>6.33</v>
      </c>
      <c r="N47" t="str">
        <f>IF(Usage_Data_Feedback[[#This Row],[Overall_Rating]]&gt;8,"HIGH", IF(Usage_Data_Feedback[[#This Row],[Overall_Rating]]&gt;5,"MEDIUM","LOW"))</f>
        <v>MEDIUM</v>
      </c>
    </row>
    <row r="48" spans="1:14" x14ac:dyDescent="0.25">
      <c r="A48" t="s">
        <v>1012</v>
      </c>
      <c r="B48" t="s">
        <v>1000</v>
      </c>
      <c r="C48">
        <v>22.14</v>
      </c>
      <c r="D48">
        <v>47</v>
      </c>
      <c r="E48">
        <v>83.24</v>
      </c>
      <c r="F48">
        <v>1040.58</v>
      </c>
      <c r="G48">
        <v>5</v>
      </c>
      <c r="H48">
        <v>8</v>
      </c>
      <c r="I48">
        <v>6</v>
      </c>
      <c r="J48" t="s">
        <v>994</v>
      </c>
      <c r="K48" t="s">
        <v>996</v>
      </c>
      <c r="L48" t="s">
        <v>1013</v>
      </c>
      <c r="M48">
        <f>ROUND((Usage_Data_Feedback[[#This Row],[Feedback.Overall_Satisfaction_Rating]]+Usage_Data_Feedback[[#This Row],[Feedback.Performance_Rating]]+Usage_Data_Feedback[[#This Row],[Feedback.Ease_of_Use_Rating]])/3,2)</f>
        <v>6.33</v>
      </c>
      <c r="N48" t="str">
        <f>IF(Usage_Data_Feedback[[#This Row],[Overall_Rating]]&gt;8,"HIGH", IF(Usage_Data_Feedback[[#This Row],[Overall_Rating]]&gt;5,"MEDIUM","LOW"))</f>
        <v>MEDIUM</v>
      </c>
    </row>
    <row r="49" spans="1:14" x14ac:dyDescent="0.25">
      <c r="A49" t="s">
        <v>1012</v>
      </c>
      <c r="B49" t="s">
        <v>1001</v>
      </c>
      <c r="C49">
        <v>29.1</v>
      </c>
      <c r="D49">
        <v>38</v>
      </c>
      <c r="E49">
        <v>62.41</v>
      </c>
      <c r="F49">
        <v>1105.8</v>
      </c>
      <c r="G49">
        <v>5</v>
      </c>
      <c r="H49">
        <v>8</v>
      </c>
      <c r="I49">
        <v>6</v>
      </c>
      <c r="J49" t="s">
        <v>994</v>
      </c>
      <c r="K49" t="s">
        <v>996</v>
      </c>
      <c r="L49" t="s">
        <v>1013</v>
      </c>
      <c r="M49">
        <f>ROUND((Usage_Data_Feedback[[#This Row],[Feedback.Overall_Satisfaction_Rating]]+Usage_Data_Feedback[[#This Row],[Feedback.Performance_Rating]]+Usage_Data_Feedback[[#This Row],[Feedback.Ease_of_Use_Rating]])/3,2)</f>
        <v>6.33</v>
      </c>
      <c r="N49" t="str">
        <f>IF(Usage_Data_Feedback[[#This Row],[Overall_Rating]]&gt;8,"HIGH", IF(Usage_Data_Feedback[[#This Row],[Overall_Rating]]&gt;5,"MEDIUM","LOW"))</f>
        <v>MEDIUM</v>
      </c>
    </row>
    <row r="50" spans="1:14" x14ac:dyDescent="0.25">
      <c r="A50" t="s">
        <v>1014</v>
      </c>
      <c r="B50" t="s">
        <v>994</v>
      </c>
      <c r="C50">
        <v>18.63</v>
      </c>
      <c r="D50">
        <v>9</v>
      </c>
      <c r="E50">
        <v>50.5</v>
      </c>
      <c r="F50">
        <v>167.67</v>
      </c>
      <c r="G50">
        <v>10</v>
      </c>
      <c r="H50">
        <v>10</v>
      </c>
      <c r="I50">
        <v>2</v>
      </c>
      <c r="J50" t="s">
        <v>994</v>
      </c>
      <c r="K50" t="s">
        <v>996</v>
      </c>
      <c r="L50" t="s">
        <v>1008</v>
      </c>
      <c r="M50">
        <f>ROUND((Usage_Data_Feedback[[#This Row],[Feedback.Overall_Satisfaction_Rating]]+Usage_Data_Feedback[[#This Row],[Feedback.Performance_Rating]]+Usage_Data_Feedback[[#This Row],[Feedback.Ease_of_Use_Rating]])/3,2)</f>
        <v>7.33</v>
      </c>
      <c r="N50" t="str">
        <f>IF(Usage_Data_Feedback[[#This Row],[Overall_Rating]]&gt;8,"HIGH", IF(Usage_Data_Feedback[[#This Row],[Overall_Rating]]&gt;5,"MEDIUM","LOW"))</f>
        <v>MEDIUM</v>
      </c>
    </row>
    <row r="51" spans="1:14" x14ac:dyDescent="0.25">
      <c r="A51" t="s">
        <v>1014</v>
      </c>
      <c r="B51" t="s">
        <v>998</v>
      </c>
      <c r="C51">
        <v>37.36</v>
      </c>
      <c r="D51">
        <v>19</v>
      </c>
      <c r="E51">
        <v>76.790000000000006</v>
      </c>
      <c r="F51">
        <v>709.84</v>
      </c>
      <c r="G51">
        <v>10</v>
      </c>
      <c r="H51">
        <v>10</v>
      </c>
      <c r="I51">
        <v>2</v>
      </c>
      <c r="J51" t="s">
        <v>994</v>
      </c>
      <c r="K51" t="s">
        <v>996</v>
      </c>
      <c r="L51" t="s">
        <v>1008</v>
      </c>
      <c r="M51">
        <f>ROUND((Usage_Data_Feedback[[#This Row],[Feedback.Overall_Satisfaction_Rating]]+Usage_Data_Feedback[[#This Row],[Feedback.Performance_Rating]]+Usage_Data_Feedback[[#This Row],[Feedback.Ease_of_Use_Rating]])/3,2)</f>
        <v>7.33</v>
      </c>
      <c r="N51" t="str">
        <f>IF(Usage_Data_Feedback[[#This Row],[Overall_Rating]]&gt;8,"HIGH", IF(Usage_Data_Feedback[[#This Row],[Overall_Rating]]&gt;5,"MEDIUM","LOW"))</f>
        <v>MEDIUM</v>
      </c>
    </row>
    <row r="52" spans="1:14" x14ac:dyDescent="0.25">
      <c r="A52" t="s">
        <v>1014</v>
      </c>
      <c r="B52" t="s">
        <v>995</v>
      </c>
      <c r="C52">
        <v>5.4</v>
      </c>
      <c r="D52">
        <v>50</v>
      </c>
      <c r="E52">
        <v>81.27</v>
      </c>
      <c r="F52">
        <v>270</v>
      </c>
      <c r="G52">
        <v>10</v>
      </c>
      <c r="H52">
        <v>10</v>
      </c>
      <c r="I52">
        <v>2</v>
      </c>
      <c r="J52" t="s">
        <v>994</v>
      </c>
      <c r="K52" t="s">
        <v>996</v>
      </c>
      <c r="L52" t="s">
        <v>1008</v>
      </c>
      <c r="M52">
        <f>ROUND((Usage_Data_Feedback[[#This Row],[Feedback.Overall_Satisfaction_Rating]]+Usage_Data_Feedback[[#This Row],[Feedback.Performance_Rating]]+Usage_Data_Feedback[[#This Row],[Feedback.Ease_of_Use_Rating]])/3,2)</f>
        <v>7.33</v>
      </c>
      <c r="N52" t="str">
        <f>IF(Usage_Data_Feedback[[#This Row],[Overall_Rating]]&gt;8,"HIGH", IF(Usage_Data_Feedback[[#This Row],[Overall_Rating]]&gt;5,"MEDIUM","LOW"))</f>
        <v>MEDIUM</v>
      </c>
    </row>
    <row r="53" spans="1:14" x14ac:dyDescent="0.25">
      <c r="A53" t="s">
        <v>1014</v>
      </c>
      <c r="B53" t="s">
        <v>999</v>
      </c>
      <c r="C53">
        <v>17.59</v>
      </c>
      <c r="D53">
        <v>7</v>
      </c>
      <c r="E53">
        <v>105.26</v>
      </c>
      <c r="F53">
        <v>123.13</v>
      </c>
      <c r="G53">
        <v>10</v>
      </c>
      <c r="H53">
        <v>10</v>
      </c>
      <c r="I53">
        <v>2</v>
      </c>
      <c r="J53" t="s">
        <v>994</v>
      </c>
      <c r="K53" t="s">
        <v>996</v>
      </c>
      <c r="L53" t="s">
        <v>1008</v>
      </c>
      <c r="M53">
        <f>ROUND((Usage_Data_Feedback[[#This Row],[Feedback.Overall_Satisfaction_Rating]]+Usage_Data_Feedback[[#This Row],[Feedback.Performance_Rating]]+Usage_Data_Feedback[[#This Row],[Feedback.Ease_of_Use_Rating]])/3,2)</f>
        <v>7.33</v>
      </c>
      <c r="N53" t="str">
        <f>IF(Usage_Data_Feedback[[#This Row],[Overall_Rating]]&gt;8,"HIGH", IF(Usage_Data_Feedback[[#This Row],[Overall_Rating]]&gt;5,"MEDIUM","LOW"))</f>
        <v>MEDIUM</v>
      </c>
    </row>
    <row r="54" spans="1:14" x14ac:dyDescent="0.25">
      <c r="A54" t="s">
        <v>1014</v>
      </c>
      <c r="B54" t="s">
        <v>1000</v>
      </c>
      <c r="C54">
        <v>8.9</v>
      </c>
      <c r="D54">
        <v>20</v>
      </c>
      <c r="E54">
        <v>44.24</v>
      </c>
      <c r="F54">
        <v>178</v>
      </c>
      <c r="G54">
        <v>10</v>
      </c>
      <c r="H54">
        <v>10</v>
      </c>
      <c r="I54">
        <v>2</v>
      </c>
      <c r="J54" t="s">
        <v>994</v>
      </c>
      <c r="K54" t="s">
        <v>996</v>
      </c>
      <c r="L54" t="s">
        <v>1008</v>
      </c>
      <c r="M54">
        <f>ROUND((Usage_Data_Feedback[[#This Row],[Feedback.Overall_Satisfaction_Rating]]+Usage_Data_Feedback[[#This Row],[Feedback.Performance_Rating]]+Usage_Data_Feedback[[#This Row],[Feedback.Ease_of_Use_Rating]])/3,2)</f>
        <v>7.33</v>
      </c>
      <c r="N54" t="str">
        <f>IF(Usage_Data_Feedback[[#This Row],[Overall_Rating]]&gt;8,"HIGH", IF(Usage_Data_Feedback[[#This Row],[Overall_Rating]]&gt;5,"MEDIUM","LOW"))</f>
        <v>MEDIUM</v>
      </c>
    </row>
    <row r="55" spans="1:14" x14ac:dyDescent="0.25">
      <c r="A55" t="s">
        <v>1014</v>
      </c>
      <c r="B55" t="s">
        <v>1001</v>
      </c>
      <c r="C55">
        <v>31.7</v>
      </c>
      <c r="D55">
        <v>39</v>
      </c>
      <c r="E55">
        <v>28.89</v>
      </c>
      <c r="F55">
        <v>1236.3</v>
      </c>
      <c r="G55">
        <v>10</v>
      </c>
      <c r="H55">
        <v>10</v>
      </c>
      <c r="I55">
        <v>2</v>
      </c>
      <c r="J55" t="s">
        <v>994</v>
      </c>
      <c r="K55" t="s">
        <v>996</v>
      </c>
      <c r="L55" t="s">
        <v>1008</v>
      </c>
      <c r="M55">
        <f>ROUND((Usage_Data_Feedback[[#This Row],[Feedback.Overall_Satisfaction_Rating]]+Usage_Data_Feedback[[#This Row],[Feedback.Performance_Rating]]+Usage_Data_Feedback[[#This Row],[Feedback.Ease_of_Use_Rating]])/3,2)</f>
        <v>7.33</v>
      </c>
      <c r="N55" t="str">
        <f>IF(Usage_Data_Feedback[[#This Row],[Overall_Rating]]&gt;8,"HIGH", IF(Usage_Data_Feedback[[#This Row],[Overall_Rating]]&gt;5,"MEDIUM","LOW"))</f>
        <v>MEDIUM</v>
      </c>
    </row>
    <row r="56" spans="1:14" x14ac:dyDescent="0.25">
      <c r="A56" t="s">
        <v>1015</v>
      </c>
      <c r="B56" t="s">
        <v>994</v>
      </c>
      <c r="C56">
        <v>56.45</v>
      </c>
      <c r="D56">
        <v>41</v>
      </c>
      <c r="E56">
        <v>75.5</v>
      </c>
      <c r="F56">
        <v>2314.4499999999998</v>
      </c>
      <c r="G56">
        <v>5</v>
      </c>
      <c r="H56">
        <v>3</v>
      </c>
      <c r="I56">
        <v>6</v>
      </c>
      <c r="J56" t="s">
        <v>994</v>
      </c>
      <c r="K56" t="s">
        <v>996</v>
      </c>
      <c r="L56" t="s">
        <v>1010</v>
      </c>
      <c r="M56">
        <f>ROUND((Usage_Data_Feedback[[#This Row],[Feedback.Overall_Satisfaction_Rating]]+Usage_Data_Feedback[[#This Row],[Feedback.Performance_Rating]]+Usage_Data_Feedback[[#This Row],[Feedback.Ease_of_Use_Rating]])/3,2)</f>
        <v>4.67</v>
      </c>
      <c r="N56" t="str">
        <f>IF(Usage_Data_Feedback[[#This Row],[Overall_Rating]]&gt;8,"HIGH", IF(Usage_Data_Feedback[[#This Row],[Overall_Rating]]&gt;5,"MEDIUM","LOW"))</f>
        <v>LOW</v>
      </c>
    </row>
    <row r="57" spans="1:14" x14ac:dyDescent="0.25">
      <c r="A57" t="s">
        <v>1015</v>
      </c>
      <c r="B57" t="s">
        <v>998</v>
      </c>
      <c r="C57">
        <v>18.36</v>
      </c>
      <c r="D57">
        <v>35</v>
      </c>
      <c r="E57">
        <v>99.79</v>
      </c>
      <c r="F57">
        <v>642.6</v>
      </c>
      <c r="G57">
        <v>5</v>
      </c>
      <c r="H57">
        <v>3</v>
      </c>
      <c r="I57">
        <v>6</v>
      </c>
      <c r="J57" t="s">
        <v>994</v>
      </c>
      <c r="K57" t="s">
        <v>996</v>
      </c>
      <c r="L57" t="s">
        <v>1010</v>
      </c>
      <c r="M57">
        <f>ROUND((Usage_Data_Feedback[[#This Row],[Feedback.Overall_Satisfaction_Rating]]+Usage_Data_Feedback[[#This Row],[Feedback.Performance_Rating]]+Usage_Data_Feedback[[#This Row],[Feedback.Ease_of_Use_Rating]])/3,2)</f>
        <v>4.67</v>
      </c>
      <c r="N57" t="str">
        <f>IF(Usage_Data_Feedback[[#This Row],[Overall_Rating]]&gt;8,"HIGH", IF(Usage_Data_Feedback[[#This Row],[Overall_Rating]]&gt;5,"MEDIUM","LOW"))</f>
        <v>LOW</v>
      </c>
    </row>
    <row r="58" spans="1:14" x14ac:dyDescent="0.25">
      <c r="A58" t="s">
        <v>1015</v>
      </c>
      <c r="B58" t="s">
        <v>995</v>
      </c>
      <c r="C58">
        <v>15.47</v>
      </c>
      <c r="D58">
        <v>11</v>
      </c>
      <c r="E58">
        <v>84.19</v>
      </c>
      <c r="F58">
        <v>170.17</v>
      </c>
      <c r="G58">
        <v>5</v>
      </c>
      <c r="H58">
        <v>3</v>
      </c>
      <c r="I58">
        <v>6</v>
      </c>
      <c r="J58" t="s">
        <v>994</v>
      </c>
      <c r="K58" t="s">
        <v>996</v>
      </c>
      <c r="L58" t="s">
        <v>1010</v>
      </c>
      <c r="M58">
        <f>ROUND((Usage_Data_Feedback[[#This Row],[Feedback.Overall_Satisfaction_Rating]]+Usage_Data_Feedback[[#This Row],[Feedback.Performance_Rating]]+Usage_Data_Feedback[[#This Row],[Feedback.Ease_of_Use_Rating]])/3,2)</f>
        <v>4.67</v>
      </c>
      <c r="N58" t="str">
        <f>IF(Usage_Data_Feedback[[#This Row],[Overall_Rating]]&gt;8,"HIGH", IF(Usage_Data_Feedback[[#This Row],[Overall_Rating]]&gt;5,"MEDIUM","LOW"))</f>
        <v>LOW</v>
      </c>
    </row>
    <row r="59" spans="1:14" x14ac:dyDescent="0.25">
      <c r="A59" t="s">
        <v>1015</v>
      </c>
      <c r="B59" t="s">
        <v>999</v>
      </c>
      <c r="C59">
        <v>24.49</v>
      </c>
      <c r="D59">
        <v>31</v>
      </c>
      <c r="E59">
        <v>64.040000000000006</v>
      </c>
      <c r="F59">
        <v>759.19</v>
      </c>
      <c r="G59">
        <v>5</v>
      </c>
      <c r="H59">
        <v>3</v>
      </c>
      <c r="I59">
        <v>6</v>
      </c>
      <c r="J59" t="s">
        <v>994</v>
      </c>
      <c r="K59" t="s">
        <v>996</v>
      </c>
      <c r="L59" t="s">
        <v>1010</v>
      </c>
      <c r="M59">
        <f>ROUND((Usage_Data_Feedback[[#This Row],[Feedback.Overall_Satisfaction_Rating]]+Usage_Data_Feedback[[#This Row],[Feedback.Performance_Rating]]+Usage_Data_Feedback[[#This Row],[Feedback.Ease_of_Use_Rating]])/3,2)</f>
        <v>4.67</v>
      </c>
      <c r="N59" t="str">
        <f>IF(Usage_Data_Feedback[[#This Row],[Overall_Rating]]&gt;8,"HIGH", IF(Usage_Data_Feedback[[#This Row],[Overall_Rating]]&gt;5,"MEDIUM","LOW"))</f>
        <v>LOW</v>
      </c>
    </row>
    <row r="60" spans="1:14" x14ac:dyDescent="0.25">
      <c r="A60" t="s">
        <v>1015</v>
      </c>
      <c r="B60" t="s">
        <v>1000</v>
      </c>
      <c r="C60">
        <v>45.1</v>
      </c>
      <c r="D60">
        <v>48</v>
      </c>
      <c r="E60">
        <v>83.61</v>
      </c>
      <c r="F60">
        <v>2164.8000000000002</v>
      </c>
      <c r="G60">
        <v>5</v>
      </c>
      <c r="H60">
        <v>3</v>
      </c>
      <c r="I60">
        <v>6</v>
      </c>
      <c r="J60" t="s">
        <v>994</v>
      </c>
      <c r="K60" t="s">
        <v>996</v>
      </c>
      <c r="L60" t="s">
        <v>1010</v>
      </c>
      <c r="M60">
        <f>ROUND((Usage_Data_Feedback[[#This Row],[Feedback.Overall_Satisfaction_Rating]]+Usage_Data_Feedback[[#This Row],[Feedback.Performance_Rating]]+Usage_Data_Feedback[[#This Row],[Feedback.Ease_of_Use_Rating]])/3,2)</f>
        <v>4.67</v>
      </c>
      <c r="N60" t="str">
        <f>IF(Usage_Data_Feedback[[#This Row],[Overall_Rating]]&gt;8,"HIGH", IF(Usage_Data_Feedback[[#This Row],[Overall_Rating]]&gt;5,"MEDIUM","LOW"))</f>
        <v>LOW</v>
      </c>
    </row>
    <row r="61" spans="1:14" x14ac:dyDescent="0.25">
      <c r="A61" t="s">
        <v>1015</v>
      </c>
      <c r="B61" t="s">
        <v>1001</v>
      </c>
      <c r="C61">
        <v>40.54</v>
      </c>
      <c r="D61">
        <v>8</v>
      </c>
      <c r="E61">
        <v>57.28</v>
      </c>
      <c r="F61">
        <v>324.32</v>
      </c>
      <c r="G61">
        <v>5</v>
      </c>
      <c r="H61">
        <v>3</v>
      </c>
      <c r="I61">
        <v>6</v>
      </c>
      <c r="J61" t="s">
        <v>994</v>
      </c>
      <c r="K61" t="s">
        <v>996</v>
      </c>
      <c r="L61" t="s">
        <v>1010</v>
      </c>
      <c r="M61">
        <f>ROUND((Usage_Data_Feedback[[#This Row],[Feedback.Overall_Satisfaction_Rating]]+Usage_Data_Feedback[[#This Row],[Feedback.Performance_Rating]]+Usage_Data_Feedback[[#This Row],[Feedback.Ease_of_Use_Rating]])/3,2)</f>
        <v>4.67</v>
      </c>
      <c r="N61" t="str">
        <f>IF(Usage_Data_Feedback[[#This Row],[Overall_Rating]]&gt;8,"HIGH", IF(Usage_Data_Feedback[[#This Row],[Overall_Rating]]&gt;5,"MEDIUM","LOW"))</f>
        <v>LOW</v>
      </c>
    </row>
    <row r="62" spans="1:14" x14ac:dyDescent="0.25">
      <c r="A62" t="s">
        <v>1016</v>
      </c>
      <c r="B62" t="s">
        <v>994</v>
      </c>
      <c r="C62">
        <v>23.66</v>
      </c>
      <c r="D62">
        <v>11</v>
      </c>
      <c r="E62">
        <v>41.11</v>
      </c>
      <c r="F62">
        <v>260.26</v>
      </c>
      <c r="G62">
        <v>5</v>
      </c>
      <c r="H62">
        <v>3</v>
      </c>
      <c r="I62">
        <v>8</v>
      </c>
      <c r="J62" t="s">
        <v>1000</v>
      </c>
      <c r="K62" t="s">
        <v>1003</v>
      </c>
      <c r="L62" t="s">
        <v>1008</v>
      </c>
      <c r="M62">
        <f>ROUND((Usage_Data_Feedback[[#This Row],[Feedback.Overall_Satisfaction_Rating]]+Usage_Data_Feedback[[#This Row],[Feedback.Performance_Rating]]+Usage_Data_Feedback[[#This Row],[Feedback.Ease_of_Use_Rating]])/3,2)</f>
        <v>5.33</v>
      </c>
      <c r="N62" t="str">
        <f>IF(Usage_Data_Feedback[[#This Row],[Overall_Rating]]&gt;8,"HIGH", IF(Usage_Data_Feedback[[#This Row],[Overall_Rating]]&gt;5,"MEDIUM","LOW"))</f>
        <v>MEDIUM</v>
      </c>
    </row>
    <row r="63" spans="1:14" x14ac:dyDescent="0.25">
      <c r="A63" t="s">
        <v>1016</v>
      </c>
      <c r="B63" t="s">
        <v>998</v>
      </c>
      <c r="C63">
        <v>15.46</v>
      </c>
      <c r="D63">
        <v>33</v>
      </c>
      <c r="E63">
        <v>29.72</v>
      </c>
      <c r="F63">
        <v>510.18</v>
      </c>
      <c r="G63">
        <v>5</v>
      </c>
      <c r="H63">
        <v>3</v>
      </c>
      <c r="I63">
        <v>8</v>
      </c>
      <c r="J63" t="s">
        <v>1000</v>
      </c>
      <c r="K63" t="s">
        <v>1003</v>
      </c>
      <c r="L63" t="s">
        <v>1008</v>
      </c>
      <c r="M63">
        <f>ROUND((Usage_Data_Feedback[[#This Row],[Feedback.Overall_Satisfaction_Rating]]+Usage_Data_Feedback[[#This Row],[Feedback.Performance_Rating]]+Usage_Data_Feedback[[#This Row],[Feedback.Ease_of_Use_Rating]])/3,2)</f>
        <v>5.33</v>
      </c>
      <c r="N63" t="str">
        <f>IF(Usage_Data_Feedback[[#This Row],[Overall_Rating]]&gt;8,"HIGH", IF(Usage_Data_Feedback[[#This Row],[Overall_Rating]]&gt;5,"MEDIUM","LOW"))</f>
        <v>MEDIUM</v>
      </c>
    </row>
    <row r="64" spans="1:14" x14ac:dyDescent="0.25">
      <c r="A64" t="s">
        <v>1016</v>
      </c>
      <c r="B64" t="s">
        <v>995</v>
      </c>
      <c r="C64">
        <v>15.09</v>
      </c>
      <c r="D64">
        <v>34</v>
      </c>
      <c r="E64">
        <v>41.23</v>
      </c>
      <c r="F64">
        <v>513.05999999999995</v>
      </c>
      <c r="G64">
        <v>5</v>
      </c>
      <c r="H64">
        <v>3</v>
      </c>
      <c r="I64">
        <v>8</v>
      </c>
      <c r="J64" t="s">
        <v>1000</v>
      </c>
      <c r="K64" t="s">
        <v>1003</v>
      </c>
      <c r="L64" t="s">
        <v>1008</v>
      </c>
      <c r="M64">
        <f>ROUND((Usage_Data_Feedback[[#This Row],[Feedback.Overall_Satisfaction_Rating]]+Usage_Data_Feedback[[#This Row],[Feedback.Performance_Rating]]+Usage_Data_Feedback[[#This Row],[Feedback.Ease_of_Use_Rating]])/3,2)</f>
        <v>5.33</v>
      </c>
      <c r="N64" t="str">
        <f>IF(Usage_Data_Feedback[[#This Row],[Overall_Rating]]&gt;8,"HIGH", IF(Usage_Data_Feedback[[#This Row],[Overall_Rating]]&gt;5,"MEDIUM","LOW"))</f>
        <v>MEDIUM</v>
      </c>
    </row>
    <row r="65" spans="1:14" x14ac:dyDescent="0.25">
      <c r="A65" t="s">
        <v>1016</v>
      </c>
      <c r="B65" t="s">
        <v>999</v>
      </c>
      <c r="C65">
        <v>55.78</v>
      </c>
      <c r="D65">
        <v>33</v>
      </c>
      <c r="E65">
        <v>99.84</v>
      </c>
      <c r="F65">
        <v>1840.74</v>
      </c>
      <c r="G65">
        <v>5</v>
      </c>
      <c r="H65">
        <v>3</v>
      </c>
      <c r="I65">
        <v>8</v>
      </c>
      <c r="J65" t="s">
        <v>1000</v>
      </c>
      <c r="K65" t="s">
        <v>1003</v>
      </c>
      <c r="L65" t="s">
        <v>1008</v>
      </c>
      <c r="M65">
        <f>ROUND((Usage_Data_Feedback[[#This Row],[Feedback.Overall_Satisfaction_Rating]]+Usage_Data_Feedback[[#This Row],[Feedback.Performance_Rating]]+Usage_Data_Feedback[[#This Row],[Feedback.Ease_of_Use_Rating]])/3,2)</f>
        <v>5.33</v>
      </c>
      <c r="N65" t="str">
        <f>IF(Usage_Data_Feedback[[#This Row],[Overall_Rating]]&gt;8,"HIGH", IF(Usage_Data_Feedback[[#This Row],[Overall_Rating]]&gt;5,"MEDIUM","LOW"))</f>
        <v>MEDIUM</v>
      </c>
    </row>
    <row r="66" spans="1:14" x14ac:dyDescent="0.25">
      <c r="A66" t="s">
        <v>1016</v>
      </c>
      <c r="B66" t="s">
        <v>1000</v>
      </c>
      <c r="C66">
        <v>52.08</v>
      </c>
      <c r="D66">
        <v>11</v>
      </c>
      <c r="E66">
        <v>20.309999999999999</v>
      </c>
      <c r="F66">
        <v>572.88</v>
      </c>
      <c r="G66">
        <v>5</v>
      </c>
      <c r="H66">
        <v>3</v>
      </c>
      <c r="I66">
        <v>8</v>
      </c>
      <c r="J66" t="s">
        <v>1000</v>
      </c>
      <c r="K66" t="s">
        <v>1003</v>
      </c>
      <c r="L66" t="s">
        <v>1008</v>
      </c>
      <c r="M66">
        <f>ROUND((Usage_Data_Feedback[[#This Row],[Feedback.Overall_Satisfaction_Rating]]+Usage_Data_Feedback[[#This Row],[Feedback.Performance_Rating]]+Usage_Data_Feedback[[#This Row],[Feedback.Ease_of_Use_Rating]])/3,2)</f>
        <v>5.33</v>
      </c>
      <c r="N66" t="str">
        <f>IF(Usage_Data_Feedback[[#This Row],[Overall_Rating]]&gt;8,"HIGH", IF(Usage_Data_Feedback[[#This Row],[Overall_Rating]]&gt;5,"MEDIUM","LOW"))</f>
        <v>MEDIUM</v>
      </c>
    </row>
    <row r="67" spans="1:14" x14ac:dyDescent="0.25">
      <c r="A67" t="s">
        <v>1016</v>
      </c>
      <c r="B67" t="s">
        <v>1001</v>
      </c>
      <c r="C67">
        <v>59.96</v>
      </c>
      <c r="D67">
        <v>5</v>
      </c>
      <c r="E67">
        <v>116.74</v>
      </c>
      <c r="F67">
        <v>299.8</v>
      </c>
      <c r="G67">
        <v>5</v>
      </c>
      <c r="H67">
        <v>3</v>
      </c>
      <c r="I67">
        <v>8</v>
      </c>
      <c r="J67" t="s">
        <v>1000</v>
      </c>
      <c r="K67" t="s">
        <v>1003</v>
      </c>
      <c r="L67" t="s">
        <v>1008</v>
      </c>
      <c r="M67">
        <f>ROUND((Usage_Data_Feedback[[#This Row],[Feedback.Overall_Satisfaction_Rating]]+Usage_Data_Feedback[[#This Row],[Feedback.Performance_Rating]]+Usage_Data_Feedback[[#This Row],[Feedback.Ease_of_Use_Rating]])/3,2)</f>
        <v>5.33</v>
      </c>
      <c r="N67" t="str">
        <f>IF(Usage_Data_Feedback[[#This Row],[Overall_Rating]]&gt;8,"HIGH", IF(Usage_Data_Feedback[[#This Row],[Overall_Rating]]&gt;5,"MEDIUM","LOW"))</f>
        <v>MEDIUM</v>
      </c>
    </row>
    <row r="68" spans="1:14" x14ac:dyDescent="0.25">
      <c r="A68" t="s">
        <v>1017</v>
      </c>
      <c r="B68" t="s">
        <v>994</v>
      </c>
      <c r="C68">
        <v>55.95</v>
      </c>
      <c r="D68">
        <v>20</v>
      </c>
      <c r="E68">
        <v>32.46</v>
      </c>
      <c r="F68">
        <v>1119</v>
      </c>
      <c r="G68">
        <v>9</v>
      </c>
      <c r="H68">
        <v>1</v>
      </c>
      <c r="I68">
        <v>9</v>
      </c>
      <c r="J68" t="s">
        <v>995</v>
      </c>
      <c r="K68" t="s">
        <v>996</v>
      </c>
      <c r="L68" t="s">
        <v>1006</v>
      </c>
      <c r="M68">
        <f>ROUND((Usage_Data_Feedback[[#This Row],[Feedback.Overall_Satisfaction_Rating]]+Usage_Data_Feedback[[#This Row],[Feedback.Performance_Rating]]+Usage_Data_Feedback[[#This Row],[Feedback.Ease_of_Use_Rating]])/3,2)</f>
        <v>6.33</v>
      </c>
      <c r="N68" t="str">
        <f>IF(Usage_Data_Feedback[[#This Row],[Overall_Rating]]&gt;8,"HIGH", IF(Usage_Data_Feedback[[#This Row],[Overall_Rating]]&gt;5,"MEDIUM","LOW"))</f>
        <v>MEDIUM</v>
      </c>
    </row>
    <row r="69" spans="1:14" x14ac:dyDescent="0.25">
      <c r="A69" t="s">
        <v>1017</v>
      </c>
      <c r="B69" t="s">
        <v>998</v>
      </c>
      <c r="C69">
        <v>31.71</v>
      </c>
      <c r="D69">
        <v>18</v>
      </c>
      <c r="E69">
        <v>105.79</v>
      </c>
      <c r="F69">
        <v>570.78</v>
      </c>
      <c r="G69">
        <v>9</v>
      </c>
      <c r="H69">
        <v>1</v>
      </c>
      <c r="I69">
        <v>9</v>
      </c>
      <c r="J69" t="s">
        <v>995</v>
      </c>
      <c r="K69" t="s">
        <v>996</v>
      </c>
      <c r="L69" t="s">
        <v>1006</v>
      </c>
      <c r="M69">
        <f>ROUND((Usage_Data_Feedback[[#This Row],[Feedback.Overall_Satisfaction_Rating]]+Usage_Data_Feedback[[#This Row],[Feedback.Performance_Rating]]+Usage_Data_Feedback[[#This Row],[Feedback.Ease_of_Use_Rating]])/3,2)</f>
        <v>6.33</v>
      </c>
      <c r="N69" t="str">
        <f>IF(Usage_Data_Feedback[[#This Row],[Overall_Rating]]&gt;8,"HIGH", IF(Usage_Data_Feedback[[#This Row],[Overall_Rating]]&gt;5,"MEDIUM","LOW"))</f>
        <v>MEDIUM</v>
      </c>
    </row>
    <row r="70" spans="1:14" x14ac:dyDescent="0.25">
      <c r="A70" t="s">
        <v>1017</v>
      </c>
      <c r="B70" t="s">
        <v>995</v>
      </c>
      <c r="C70">
        <v>54.63</v>
      </c>
      <c r="D70">
        <v>15</v>
      </c>
      <c r="E70">
        <v>54.79</v>
      </c>
      <c r="F70">
        <v>819.45</v>
      </c>
      <c r="G70">
        <v>9</v>
      </c>
      <c r="H70">
        <v>1</v>
      </c>
      <c r="I70">
        <v>9</v>
      </c>
      <c r="J70" t="s">
        <v>995</v>
      </c>
      <c r="K70" t="s">
        <v>996</v>
      </c>
      <c r="L70" t="s">
        <v>1006</v>
      </c>
      <c r="M70">
        <f>ROUND((Usage_Data_Feedback[[#This Row],[Feedback.Overall_Satisfaction_Rating]]+Usage_Data_Feedback[[#This Row],[Feedback.Performance_Rating]]+Usage_Data_Feedback[[#This Row],[Feedback.Ease_of_Use_Rating]])/3,2)</f>
        <v>6.33</v>
      </c>
      <c r="N70" t="str">
        <f>IF(Usage_Data_Feedback[[#This Row],[Overall_Rating]]&gt;8,"HIGH", IF(Usage_Data_Feedback[[#This Row],[Overall_Rating]]&gt;5,"MEDIUM","LOW"))</f>
        <v>MEDIUM</v>
      </c>
    </row>
    <row r="71" spans="1:14" x14ac:dyDescent="0.25">
      <c r="A71" t="s">
        <v>1017</v>
      </c>
      <c r="B71" t="s">
        <v>999</v>
      </c>
      <c r="C71">
        <v>59.19</v>
      </c>
      <c r="D71">
        <v>21</v>
      </c>
      <c r="E71">
        <v>112.28</v>
      </c>
      <c r="F71">
        <v>1242.99</v>
      </c>
      <c r="G71">
        <v>9</v>
      </c>
      <c r="H71">
        <v>1</v>
      </c>
      <c r="I71">
        <v>9</v>
      </c>
      <c r="J71" t="s">
        <v>995</v>
      </c>
      <c r="K71" t="s">
        <v>996</v>
      </c>
      <c r="L71" t="s">
        <v>1006</v>
      </c>
      <c r="M71">
        <f>ROUND((Usage_Data_Feedback[[#This Row],[Feedback.Overall_Satisfaction_Rating]]+Usage_Data_Feedback[[#This Row],[Feedback.Performance_Rating]]+Usage_Data_Feedback[[#This Row],[Feedback.Ease_of_Use_Rating]])/3,2)</f>
        <v>6.33</v>
      </c>
      <c r="N71" t="str">
        <f>IF(Usage_Data_Feedback[[#This Row],[Overall_Rating]]&gt;8,"HIGH", IF(Usage_Data_Feedback[[#This Row],[Overall_Rating]]&gt;5,"MEDIUM","LOW"))</f>
        <v>MEDIUM</v>
      </c>
    </row>
    <row r="72" spans="1:14" x14ac:dyDescent="0.25">
      <c r="A72" t="s">
        <v>1017</v>
      </c>
      <c r="B72" t="s">
        <v>1000</v>
      </c>
      <c r="C72">
        <v>48.18</v>
      </c>
      <c r="D72">
        <v>23</v>
      </c>
      <c r="E72">
        <v>59.42</v>
      </c>
      <c r="F72">
        <v>1108.1400000000001</v>
      </c>
      <c r="G72">
        <v>9</v>
      </c>
      <c r="H72">
        <v>1</v>
      </c>
      <c r="I72">
        <v>9</v>
      </c>
      <c r="J72" t="s">
        <v>995</v>
      </c>
      <c r="K72" t="s">
        <v>996</v>
      </c>
      <c r="L72" t="s">
        <v>1006</v>
      </c>
      <c r="M72">
        <f>ROUND((Usage_Data_Feedback[[#This Row],[Feedback.Overall_Satisfaction_Rating]]+Usage_Data_Feedback[[#This Row],[Feedback.Performance_Rating]]+Usage_Data_Feedback[[#This Row],[Feedback.Ease_of_Use_Rating]])/3,2)</f>
        <v>6.33</v>
      </c>
      <c r="N72" t="str">
        <f>IF(Usage_Data_Feedback[[#This Row],[Overall_Rating]]&gt;8,"HIGH", IF(Usage_Data_Feedback[[#This Row],[Overall_Rating]]&gt;5,"MEDIUM","LOW"))</f>
        <v>MEDIUM</v>
      </c>
    </row>
    <row r="73" spans="1:14" x14ac:dyDescent="0.25">
      <c r="A73" t="s">
        <v>1017</v>
      </c>
      <c r="B73" t="s">
        <v>1001</v>
      </c>
      <c r="C73">
        <v>57.65</v>
      </c>
      <c r="D73">
        <v>40</v>
      </c>
      <c r="E73">
        <v>84.5</v>
      </c>
      <c r="F73">
        <v>2306</v>
      </c>
      <c r="G73">
        <v>9</v>
      </c>
      <c r="H73">
        <v>1</v>
      </c>
      <c r="I73">
        <v>9</v>
      </c>
      <c r="J73" t="s">
        <v>995</v>
      </c>
      <c r="K73" t="s">
        <v>996</v>
      </c>
      <c r="L73" t="s">
        <v>1006</v>
      </c>
      <c r="M73">
        <f>ROUND((Usage_Data_Feedback[[#This Row],[Feedback.Overall_Satisfaction_Rating]]+Usage_Data_Feedback[[#This Row],[Feedback.Performance_Rating]]+Usage_Data_Feedback[[#This Row],[Feedback.Ease_of_Use_Rating]])/3,2)</f>
        <v>6.33</v>
      </c>
      <c r="N73" t="str">
        <f>IF(Usage_Data_Feedback[[#This Row],[Overall_Rating]]&gt;8,"HIGH", IF(Usage_Data_Feedback[[#This Row],[Overall_Rating]]&gt;5,"MEDIUM","LOW"))</f>
        <v>MEDIUM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D2CC-813D-4313-AF67-C748A9434E7B}">
  <dimension ref="A1:E47"/>
  <sheetViews>
    <sheetView zoomScale="80" zoomScaleNormal="80" workbookViewId="0">
      <selection activeCell="X27" sqref="X27"/>
    </sheetView>
  </sheetViews>
  <sheetFormatPr defaultRowHeight="15" x14ac:dyDescent="0.25"/>
  <cols>
    <col min="1" max="1" width="18.85546875" bestFit="1" customWidth="1"/>
    <col min="2" max="2" width="32.42578125" bestFit="1" customWidth="1"/>
    <col min="4" max="4" width="12.5703125" bestFit="1" customWidth="1"/>
    <col min="5" max="5" width="23.140625" bestFit="1" customWidth="1"/>
  </cols>
  <sheetData>
    <row r="1" spans="1:5" x14ac:dyDescent="0.25">
      <c r="D1" s="27" t="s">
        <v>1018</v>
      </c>
      <c r="E1" s="27"/>
    </row>
    <row r="2" spans="1:5" x14ac:dyDescent="0.25">
      <c r="A2" t="s">
        <v>1019</v>
      </c>
      <c r="B2">
        <f>AVERAGE(Usage_Data_Feedback[Overall_Rating])</f>
        <v>5.8324999999999978</v>
      </c>
    </row>
    <row r="3" spans="1:5" x14ac:dyDescent="0.25">
      <c r="A3" t="s">
        <v>1020</v>
      </c>
      <c r="B3">
        <f>MAX(Usage_Data_Feedback[Overall_Rating])</f>
        <v>7.33</v>
      </c>
      <c r="D3" s="8" t="s">
        <v>34</v>
      </c>
      <c r="E3" t="s">
        <v>1021</v>
      </c>
    </row>
    <row r="4" spans="1:5" x14ac:dyDescent="0.25">
      <c r="A4" t="s">
        <v>1022</v>
      </c>
      <c r="B4">
        <f>MIN(Usage_Data_Feedback[Overall_Rating])</f>
        <v>4.67</v>
      </c>
      <c r="D4" s="9" t="s">
        <v>993</v>
      </c>
      <c r="E4">
        <v>5</v>
      </c>
    </row>
    <row r="5" spans="1:5" x14ac:dyDescent="0.25">
      <c r="A5" t="s">
        <v>966</v>
      </c>
      <c r="B5">
        <f>_xlfn.STDEV.S(Usage_Data_Feedback[Overall_Rating])</f>
        <v>0.88083946835625293</v>
      </c>
      <c r="D5" s="9" t="s">
        <v>1002</v>
      </c>
      <c r="E5">
        <v>6.6700000000000008</v>
      </c>
    </row>
    <row r="6" spans="1:5" x14ac:dyDescent="0.25">
      <c r="A6" t="s">
        <v>1023</v>
      </c>
      <c r="B6">
        <f>COUNTIF(Usage_Data_Feedback[Feedback.Would_Recommend],"Yes")</f>
        <v>48</v>
      </c>
      <c r="D6" s="9" t="s">
        <v>1004</v>
      </c>
      <c r="E6">
        <v>6.3299999999999992</v>
      </c>
    </row>
    <row r="7" spans="1:5" x14ac:dyDescent="0.25">
      <c r="A7" t="s">
        <v>1024</v>
      </c>
      <c r="B7">
        <f>COUNTA(Usage_Data_Feedback[Feedback.Would_Recommend])</f>
        <v>72</v>
      </c>
      <c r="D7" s="9" t="s">
        <v>1005</v>
      </c>
      <c r="E7">
        <v>4.6700000000000008</v>
      </c>
    </row>
    <row r="8" spans="1:5" x14ac:dyDescent="0.25">
      <c r="A8" t="s">
        <v>1025</v>
      </c>
      <c r="B8">
        <f>ROUND((B6/B7)*100,2)</f>
        <v>66.67</v>
      </c>
      <c r="D8" s="9" t="s">
        <v>1007</v>
      </c>
      <c r="E8">
        <v>6.3299999999999992</v>
      </c>
    </row>
    <row r="9" spans="1:5" x14ac:dyDescent="0.25">
      <c r="D9" s="9" t="s">
        <v>1009</v>
      </c>
      <c r="E9">
        <v>6.3299999999999992</v>
      </c>
    </row>
    <row r="10" spans="1:5" x14ac:dyDescent="0.25">
      <c r="D10" s="9" t="s">
        <v>1011</v>
      </c>
      <c r="E10">
        <v>4.6700000000000008</v>
      </c>
    </row>
    <row r="11" spans="1:5" x14ac:dyDescent="0.25">
      <c r="D11" s="9" t="s">
        <v>1012</v>
      </c>
      <c r="E11">
        <v>6.3299999999999992</v>
      </c>
    </row>
    <row r="12" spans="1:5" x14ac:dyDescent="0.25">
      <c r="D12" s="9" t="s">
        <v>1014</v>
      </c>
      <c r="E12">
        <v>7.3299999999999992</v>
      </c>
    </row>
    <row r="13" spans="1:5" x14ac:dyDescent="0.25">
      <c r="D13" s="9" t="s">
        <v>1015</v>
      </c>
      <c r="E13">
        <v>4.6700000000000008</v>
      </c>
    </row>
    <row r="14" spans="1:5" x14ac:dyDescent="0.25">
      <c r="D14" s="9" t="s">
        <v>1016</v>
      </c>
      <c r="E14">
        <v>5.3299999999999992</v>
      </c>
    </row>
    <row r="15" spans="1:5" x14ac:dyDescent="0.25">
      <c r="D15" s="9" t="s">
        <v>1017</v>
      </c>
      <c r="E15">
        <v>6.3299999999999992</v>
      </c>
    </row>
    <row r="16" spans="1:5" x14ac:dyDescent="0.25">
      <c r="D16" s="9" t="s">
        <v>175</v>
      </c>
      <c r="E16">
        <v>5.8324999999999978</v>
      </c>
    </row>
    <row r="22" spans="1:2" x14ac:dyDescent="0.25">
      <c r="A22" s="8" t="s">
        <v>34</v>
      </c>
      <c r="B22" t="s">
        <v>1026</v>
      </c>
    </row>
    <row r="23" spans="1:2" x14ac:dyDescent="0.25">
      <c r="A23" s="9" t="s">
        <v>993</v>
      </c>
      <c r="B23">
        <v>913.38499999999988</v>
      </c>
    </row>
    <row r="24" spans="1:2" x14ac:dyDescent="0.25">
      <c r="A24" s="12" t="s">
        <v>995</v>
      </c>
      <c r="B24">
        <v>913.38499999999988</v>
      </c>
    </row>
    <row r="25" spans="1:2" x14ac:dyDescent="0.25">
      <c r="A25" s="9" t="s">
        <v>1002</v>
      </c>
      <c r="B25">
        <v>1360.9</v>
      </c>
    </row>
    <row r="26" spans="1:2" x14ac:dyDescent="0.25">
      <c r="A26" s="12" t="s">
        <v>1001</v>
      </c>
      <c r="B26">
        <v>1360.9</v>
      </c>
    </row>
    <row r="27" spans="1:2" x14ac:dyDescent="0.25">
      <c r="A27" s="9" t="s">
        <v>1004</v>
      </c>
      <c r="B27">
        <v>839.29333333333341</v>
      </c>
    </row>
    <row r="28" spans="1:2" x14ac:dyDescent="0.25">
      <c r="A28" s="12" t="s">
        <v>1000</v>
      </c>
      <c r="B28">
        <v>839.29333333333341</v>
      </c>
    </row>
    <row r="29" spans="1:2" x14ac:dyDescent="0.25">
      <c r="A29" s="9" t="s">
        <v>1005</v>
      </c>
      <c r="B29">
        <v>1354.47</v>
      </c>
    </row>
    <row r="30" spans="1:2" x14ac:dyDescent="0.25">
      <c r="A30" s="12" t="s">
        <v>994</v>
      </c>
      <c r="B30">
        <v>1354.47</v>
      </c>
    </row>
    <row r="31" spans="1:2" x14ac:dyDescent="0.25">
      <c r="A31" s="9" t="s">
        <v>1007</v>
      </c>
      <c r="B31">
        <v>580.9283333333334</v>
      </c>
    </row>
    <row r="32" spans="1:2" x14ac:dyDescent="0.25">
      <c r="A32" s="12" t="s">
        <v>998</v>
      </c>
      <c r="B32">
        <v>580.9283333333334</v>
      </c>
    </row>
    <row r="33" spans="1:2" x14ac:dyDescent="0.25">
      <c r="A33" s="9" t="s">
        <v>1009</v>
      </c>
      <c r="B33">
        <v>1219.5250000000001</v>
      </c>
    </row>
    <row r="34" spans="1:2" x14ac:dyDescent="0.25">
      <c r="A34" s="12" t="s">
        <v>1000</v>
      </c>
      <c r="B34">
        <v>1219.5250000000001</v>
      </c>
    </row>
    <row r="35" spans="1:2" x14ac:dyDescent="0.25">
      <c r="A35" s="9" t="s">
        <v>1011</v>
      </c>
      <c r="B35">
        <v>888.60500000000002</v>
      </c>
    </row>
    <row r="36" spans="1:2" x14ac:dyDescent="0.25">
      <c r="A36" s="12" t="s">
        <v>995</v>
      </c>
      <c r="B36">
        <v>888.60500000000002</v>
      </c>
    </row>
    <row r="37" spans="1:2" x14ac:dyDescent="0.25">
      <c r="A37" s="9" t="s">
        <v>1012</v>
      </c>
      <c r="B37">
        <v>982.14</v>
      </c>
    </row>
    <row r="38" spans="1:2" x14ac:dyDescent="0.25">
      <c r="A38" s="12" t="s">
        <v>994</v>
      </c>
      <c r="B38">
        <v>982.14</v>
      </c>
    </row>
    <row r="39" spans="1:2" x14ac:dyDescent="0.25">
      <c r="A39" s="9" t="s">
        <v>1014</v>
      </c>
      <c r="B39">
        <v>447.48999999999995</v>
      </c>
    </row>
    <row r="40" spans="1:2" x14ac:dyDescent="0.25">
      <c r="A40" s="12" t="s">
        <v>994</v>
      </c>
      <c r="B40">
        <v>447.48999999999995</v>
      </c>
    </row>
    <row r="41" spans="1:2" x14ac:dyDescent="0.25">
      <c r="A41" s="9" t="s">
        <v>1015</v>
      </c>
      <c r="B41">
        <v>1062.5883333333334</v>
      </c>
    </row>
    <row r="42" spans="1:2" x14ac:dyDescent="0.25">
      <c r="A42" s="12" t="s">
        <v>994</v>
      </c>
      <c r="B42">
        <v>1062.5883333333334</v>
      </c>
    </row>
    <row r="43" spans="1:2" x14ac:dyDescent="0.25">
      <c r="A43" s="9" t="s">
        <v>1016</v>
      </c>
      <c r="B43">
        <v>666.15333333333331</v>
      </c>
    </row>
    <row r="44" spans="1:2" x14ac:dyDescent="0.25">
      <c r="A44" s="12" t="s">
        <v>1000</v>
      </c>
      <c r="B44">
        <v>666.15333333333331</v>
      </c>
    </row>
    <row r="45" spans="1:2" x14ac:dyDescent="0.25">
      <c r="A45" s="9" t="s">
        <v>1017</v>
      </c>
      <c r="B45">
        <v>1194.3933333333334</v>
      </c>
    </row>
    <row r="46" spans="1:2" x14ac:dyDescent="0.25">
      <c r="A46" s="12" t="s">
        <v>995</v>
      </c>
      <c r="B46">
        <v>1194.3933333333334</v>
      </c>
    </row>
    <row r="47" spans="1:2" x14ac:dyDescent="0.25">
      <c r="A47" s="9" t="s">
        <v>175</v>
      </c>
      <c r="B47">
        <v>959.1559722222222</v>
      </c>
    </row>
  </sheetData>
  <mergeCells count="1">
    <mergeCell ref="D1:E1"/>
  </mergeCell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765D-8B3A-49A0-A2C8-2250F7E4EAEB}">
  <dimension ref="A1:J38"/>
  <sheetViews>
    <sheetView zoomScale="90" zoomScaleNormal="90" workbookViewId="0">
      <selection activeCell="O22" sqref="O22"/>
    </sheetView>
  </sheetViews>
  <sheetFormatPr defaultRowHeight="15" x14ac:dyDescent="0.25"/>
  <cols>
    <col min="1" max="1" width="19.85546875" customWidth="1"/>
    <col min="2" max="2" width="6.28515625" bestFit="1" customWidth="1"/>
    <col min="3" max="3" width="24" customWidth="1"/>
    <col min="4" max="4" width="14.140625" customWidth="1"/>
    <col min="5" max="5" width="20.42578125" customWidth="1"/>
    <col min="6" max="6" width="19.7109375" customWidth="1"/>
    <col min="7" max="7" width="19.140625" customWidth="1"/>
    <col min="8" max="8" width="16.140625" customWidth="1"/>
  </cols>
  <sheetData>
    <row r="1" spans="1:8" ht="30" x14ac:dyDescent="0.25">
      <c r="A1" s="16" t="s">
        <v>1027</v>
      </c>
      <c r="B1" s="16" t="s">
        <v>1028</v>
      </c>
      <c r="C1" s="16" t="s">
        <v>1029</v>
      </c>
      <c r="D1" s="16" t="s">
        <v>1030</v>
      </c>
      <c r="E1" s="16" t="s">
        <v>1031</v>
      </c>
      <c r="F1" s="16" t="s">
        <v>1032</v>
      </c>
      <c r="G1" s="16" t="s">
        <v>1033</v>
      </c>
      <c r="H1" s="17" t="s">
        <v>1034</v>
      </c>
    </row>
    <row r="2" spans="1:8" x14ac:dyDescent="0.25">
      <c r="A2" s="15" t="s">
        <v>1035</v>
      </c>
      <c r="B2" s="15" t="s">
        <v>1036</v>
      </c>
      <c r="C2" s="15" t="s">
        <v>1037</v>
      </c>
      <c r="D2" s="15">
        <v>92</v>
      </c>
      <c r="E2" s="15">
        <v>85</v>
      </c>
      <c r="F2" s="15">
        <v>88</v>
      </c>
      <c r="G2" s="15">
        <v>9</v>
      </c>
      <c r="H2">
        <f>(E2+F2)/2</f>
        <v>86.5</v>
      </c>
    </row>
    <row r="3" spans="1:8" x14ac:dyDescent="0.25">
      <c r="A3" s="15" t="s">
        <v>1038</v>
      </c>
      <c r="B3" s="15" t="s">
        <v>1036</v>
      </c>
      <c r="C3" s="15" t="s">
        <v>1037</v>
      </c>
      <c r="D3" s="15">
        <v>88</v>
      </c>
      <c r="E3" s="15">
        <v>78</v>
      </c>
      <c r="F3" s="15">
        <v>81</v>
      </c>
      <c r="G3" s="15">
        <v>8</v>
      </c>
      <c r="H3" s="2">
        <f t="shared" ref="H3:H21" si="0">(E3+F3)/2</f>
        <v>79.5</v>
      </c>
    </row>
    <row r="4" spans="1:8" x14ac:dyDescent="0.25">
      <c r="A4" s="15" t="s">
        <v>1039</v>
      </c>
      <c r="B4" s="15" t="s">
        <v>1036</v>
      </c>
      <c r="C4" s="15" t="s">
        <v>1037</v>
      </c>
      <c r="D4" s="15">
        <v>95</v>
      </c>
      <c r="E4" s="15">
        <v>90</v>
      </c>
      <c r="F4" s="15">
        <v>93</v>
      </c>
      <c r="G4" s="15">
        <v>10</v>
      </c>
      <c r="H4" s="2">
        <f t="shared" si="0"/>
        <v>91.5</v>
      </c>
    </row>
    <row r="5" spans="1:8" x14ac:dyDescent="0.25">
      <c r="A5" s="15" t="s">
        <v>1040</v>
      </c>
      <c r="B5" s="15" t="s">
        <v>1036</v>
      </c>
      <c r="C5" s="15" t="s">
        <v>1037</v>
      </c>
      <c r="D5" s="15">
        <v>76</v>
      </c>
      <c r="E5" s="15">
        <v>65</v>
      </c>
      <c r="F5" s="15">
        <v>70</v>
      </c>
      <c r="G5" s="15">
        <v>7</v>
      </c>
      <c r="H5" s="2">
        <f t="shared" si="0"/>
        <v>67.5</v>
      </c>
    </row>
    <row r="6" spans="1:8" x14ac:dyDescent="0.25">
      <c r="A6" s="15" t="s">
        <v>1041</v>
      </c>
      <c r="B6" s="15" t="s">
        <v>1036</v>
      </c>
      <c r="C6" s="15" t="s">
        <v>1037</v>
      </c>
      <c r="D6" s="15">
        <v>84</v>
      </c>
      <c r="E6" s="15">
        <v>72</v>
      </c>
      <c r="F6" s="15">
        <v>75</v>
      </c>
      <c r="G6" s="15">
        <v>8</v>
      </c>
      <c r="H6" s="2">
        <f t="shared" si="0"/>
        <v>73.5</v>
      </c>
    </row>
    <row r="7" spans="1:8" x14ac:dyDescent="0.25">
      <c r="A7" s="15" t="s">
        <v>1042</v>
      </c>
      <c r="B7" s="15" t="s">
        <v>1036</v>
      </c>
      <c r="C7" s="15" t="s">
        <v>1037</v>
      </c>
      <c r="D7" s="15">
        <v>91</v>
      </c>
      <c r="E7" s="15">
        <v>87</v>
      </c>
      <c r="F7" s="15">
        <v>89</v>
      </c>
      <c r="G7" s="15">
        <v>9</v>
      </c>
      <c r="H7" s="2">
        <f t="shared" si="0"/>
        <v>88</v>
      </c>
    </row>
    <row r="8" spans="1:8" x14ac:dyDescent="0.25">
      <c r="A8" s="15" t="s">
        <v>1043</v>
      </c>
      <c r="B8" s="15" t="s">
        <v>1036</v>
      </c>
      <c r="C8" s="15" t="s">
        <v>1037</v>
      </c>
      <c r="D8" s="15">
        <v>79</v>
      </c>
      <c r="E8" s="15">
        <v>68</v>
      </c>
      <c r="F8" s="15">
        <v>72</v>
      </c>
      <c r="G8" s="15">
        <v>7</v>
      </c>
      <c r="H8" s="2">
        <f t="shared" si="0"/>
        <v>70</v>
      </c>
    </row>
    <row r="9" spans="1:8" x14ac:dyDescent="0.25">
      <c r="A9" s="15" t="s">
        <v>1044</v>
      </c>
      <c r="B9" s="15" t="s">
        <v>1036</v>
      </c>
      <c r="C9" s="15" t="s">
        <v>1037</v>
      </c>
      <c r="D9" s="15">
        <v>85</v>
      </c>
      <c r="E9" s="15">
        <v>74</v>
      </c>
      <c r="F9" s="15">
        <v>78</v>
      </c>
      <c r="G9" s="15">
        <v>8</v>
      </c>
      <c r="H9" s="2">
        <f t="shared" si="0"/>
        <v>76</v>
      </c>
    </row>
    <row r="10" spans="1:8" x14ac:dyDescent="0.25">
      <c r="A10" s="15" t="s">
        <v>1045</v>
      </c>
      <c r="B10" s="15" t="s">
        <v>1036</v>
      </c>
      <c r="C10" s="15" t="s">
        <v>1037</v>
      </c>
      <c r="D10" s="15">
        <v>93</v>
      </c>
      <c r="E10" s="15">
        <v>88</v>
      </c>
      <c r="F10" s="15">
        <v>91</v>
      </c>
      <c r="G10" s="15">
        <v>10</v>
      </c>
      <c r="H10" s="2">
        <f t="shared" si="0"/>
        <v>89.5</v>
      </c>
    </row>
    <row r="11" spans="1:8" x14ac:dyDescent="0.25">
      <c r="A11" s="15" t="s">
        <v>1046</v>
      </c>
      <c r="B11" s="15" t="s">
        <v>1036</v>
      </c>
      <c r="C11" s="15" t="s">
        <v>1037</v>
      </c>
      <c r="D11" s="15">
        <v>81</v>
      </c>
      <c r="E11" s="15">
        <v>70</v>
      </c>
      <c r="F11" s="15">
        <v>73</v>
      </c>
      <c r="G11" s="15">
        <v>7</v>
      </c>
      <c r="H11" s="2">
        <f t="shared" si="0"/>
        <v>71.5</v>
      </c>
    </row>
    <row r="12" spans="1:8" x14ac:dyDescent="0.25">
      <c r="A12" s="15" t="s">
        <v>1047</v>
      </c>
      <c r="B12" s="15" t="s">
        <v>1048</v>
      </c>
      <c r="C12" s="15" t="s">
        <v>1049</v>
      </c>
      <c r="D12" s="15">
        <v>90</v>
      </c>
      <c r="E12" s="15">
        <v>82</v>
      </c>
      <c r="F12" s="15">
        <v>86</v>
      </c>
      <c r="G12" s="15">
        <v>9</v>
      </c>
      <c r="H12" s="2">
        <f t="shared" si="0"/>
        <v>84</v>
      </c>
    </row>
    <row r="13" spans="1:8" x14ac:dyDescent="0.25">
      <c r="A13" s="15" t="s">
        <v>1050</v>
      </c>
      <c r="B13" s="15" t="s">
        <v>1048</v>
      </c>
      <c r="C13" s="15" t="s">
        <v>1049</v>
      </c>
      <c r="D13" s="15">
        <v>86</v>
      </c>
      <c r="E13" s="15">
        <v>76</v>
      </c>
      <c r="F13" s="15">
        <v>79</v>
      </c>
      <c r="G13" s="15">
        <v>8</v>
      </c>
      <c r="H13" s="2">
        <f t="shared" si="0"/>
        <v>77.5</v>
      </c>
    </row>
    <row r="14" spans="1:8" x14ac:dyDescent="0.25">
      <c r="A14" s="15" t="s">
        <v>1051</v>
      </c>
      <c r="B14" s="15" t="s">
        <v>1048</v>
      </c>
      <c r="C14" s="15" t="s">
        <v>1049</v>
      </c>
      <c r="D14" s="15">
        <v>94</v>
      </c>
      <c r="E14" s="15">
        <v>91</v>
      </c>
      <c r="F14" s="15">
        <v>95</v>
      </c>
      <c r="G14" s="15">
        <v>10</v>
      </c>
      <c r="H14" s="2">
        <f t="shared" si="0"/>
        <v>93</v>
      </c>
    </row>
    <row r="15" spans="1:8" x14ac:dyDescent="0.25">
      <c r="A15" s="15" t="s">
        <v>1052</v>
      </c>
      <c r="B15" s="15" t="s">
        <v>1048</v>
      </c>
      <c r="C15" s="15" t="s">
        <v>1049</v>
      </c>
      <c r="D15" s="15">
        <v>73</v>
      </c>
      <c r="E15" s="15">
        <v>60</v>
      </c>
      <c r="F15" s="15">
        <v>66</v>
      </c>
      <c r="G15" s="15">
        <v>6</v>
      </c>
      <c r="H15" s="2">
        <f t="shared" si="0"/>
        <v>63</v>
      </c>
    </row>
    <row r="16" spans="1:8" x14ac:dyDescent="0.25">
      <c r="A16" s="15" t="s">
        <v>1053</v>
      </c>
      <c r="B16" s="15" t="s">
        <v>1048</v>
      </c>
      <c r="C16" s="15" t="s">
        <v>1049</v>
      </c>
      <c r="D16" s="15">
        <v>80</v>
      </c>
      <c r="E16" s="15">
        <v>69</v>
      </c>
      <c r="F16" s="15">
        <v>74</v>
      </c>
      <c r="G16" s="15">
        <v>7</v>
      </c>
      <c r="H16" s="2">
        <f t="shared" si="0"/>
        <v>71.5</v>
      </c>
    </row>
    <row r="17" spans="1:8" x14ac:dyDescent="0.25">
      <c r="A17" s="15" t="s">
        <v>1054</v>
      </c>
      <c r="B17" s="15" t="s">
        <v>1048</v>
      </c>
      <c r="C17" s="15" t="s">
        <v>1049</v>
      </c>
      <c r="D17" s="15">
        <v>89</v>
      </c>
      <c r="E17" s="15">
        <v>84</v>
      </c>
      <c r="F17" s="15">
        <v>87</v>
      </c>
      <c r="G17" s="15">
        <v>9</v>
      </c>
      <c r="H17" s="2">
        <f t="shared" si="0"/>
        <v>85.5</v>
      </c>
    </row>
    <row r="18" spans="1:8" x14ac:dyDescent="0.25">
      <c r="A18" s="15" t="s">
        <v>1055</v>
      </c>
      <c r="B18" s="15" t="s">
        <v>1048</v>
      </c>
      <c r="C18" s="15" t="s">
        <v>1049</v>
      </c>
      <c r="D18" s="15">
        <v>77</v>
      </c>
      <c r="E18" s="15">
        <v>65</v>
      </c>
      <c r="F18" s="15">
        <v>70</v>
      </c>
      <c r="G18" s="15">
        <v>7</v>
      </c>
      <c r="H18" s="2">
        <f t="shared" si="0"/>
        <v>67.5</v>
      </c>
    </row>
    <row r="19" spans="1:8" x14ac:dyDescent="0.25">
      <c r="A19" s="15" t="s">
        <v>1056</v>
      </c>
      <c r="B19" s="15" t="s">
        <v>1048</v>
      </c>
      <c r="C19" s="15" t="s">
        <v>1049</v>
      </c>
      <c r="D19" s="15">
        <v>83</v>
      </c>
      <c r="E19" s="15">
        <v>72</v>
      </c>
      <c r="F19" s="15">
        <v>76</v>
      </c>
      <c r="G19" s="15">
        <v>8</v>
      </c>
      <c r="H19" s="2">
        <f t="shared" si="0"/>
        <v>74</v>
      </c>
    </row>
    <row r="20" spans="1:8" x14ac:dyDescent="0.25">
      <c r="A20" s="15" t="s">
        <v>1057</v>
      </c>
      <c r="B20" s="15" t="s">
        <v>1048</v>
      </c>
      <c r="C20" s="15" t="s">
        <v>1049</v>
      </c>
      <c r="D20" s="15">
        <v>96</v>
      </c>
      <c r="E20" s="15">
        <v>93</v>
      </c>
      <c r="F20" s="15">
        <v>97</v>
      </c>
      <c r="G20" s="15">
        <v>10</v>
      </c>
      <c r="H20" s="2">
        <f t="shared" si="0"/>
        <v>95</v>
      </c>
    </row>
    <row r="21" spans="1:8" x14ac:dyDescent="0.25">
      <c r="A21" s="15" t="s">
        <v>1058</v>
      </c>
      <c r="B21" s="15" t="s">
        <v>1048</v>
      </c>
      <c r="C21" s="15" t="s">
        <v>1049</v>
      </c>
      <c r="D21" s="15">
        <v>82</v>
      </c>
      <c r="E21" s="15">
        <v>71</v>
      </c>
      <c r="F21" s="15">
        <v>75</v>
      </c>
      <c r="G21" s="15">
        <v>8</v>
      </c>
      <c r="H21" s="2">
        <f t="shared" si="0"/>
        <v>73</v>
      </c>
    </row>
    <row r="25" spans="1:8" x14ac:dyDescent="0.25">
      <c r="A25" s="24" t="s">
        <v>1059</v>
      </c>
      <c r="B25" s="24"/>
      <c r="C25" s="24"/>
    </row>
    <row r="26" spans="1:8" ht="15.75" thickBot="1" x14ac:dyDescent="0.3"/>
    <row r="27" spans="1:8" x14ac:dyDescent="0.25">
      <c r="A27" s="5"/>
      <c r="B27" s="5" t="s">
        <v>1060</v>
      </c>
      <c r="C27" s="5" t="s">
        <v>1061</v>
      </c>
    </row>
    <row r="28" spans="1:8" x14ac:dyDescent="0.25">
      <c r="A28" t="s">
        <v>961</v>
      </c>
      <c r="B28">
        <v>79.349999999999994</v>
      </c>
      <c r="C28">
        <v>78.400000000000006</v>
      </c>
      <c r="E28" t="s">
        <v>1062</v>
      </c>
    </row>
    <row r="29" spans="1:8" x14ac:dyDescent="0.25">
      <c r="A29" t="s">
        <v>965</v>
      </c>
      <c r="B29">
        <v>79.058333333333493</v>
      </c>
      <c r="C29">
        <v>113.71111111111128</v>
      </c>
      <c r="E29" t="s">
        <v>1063</v>
      </c>
    </row>
    <row r="30" spans="1:8" x14ac:dyDescent="0.25">
      <c r="A30" t="s">
        <v>1064</v>
      </c>
      <c r="B30">
        <v>10</v>
      </c>
      <c r="C30">
        <v>10</v>
      </c>
    </row>
    <row r="31" spans="1:8" x14ac:dyDescent="0.25">
      <c r="A31" t="s">
        <v>1065</v>
      </c>
      <c r="B31">
        <v>0.97160362584042659</v>
      </c>
    </row>
    <row r="32" spans="1:8" x14ac:dyDescent="0.25">
      <c r="A32" t="s">
        <v>1066</v>
      </c>
      <c r="B32">
        <v>0</v>
      </c>
    </row>
    <row r="33" spans="1:10" x14ac:dyDescent="0.25">
      <c r="A33" t="s">
        <v>1067</v>
      </c>
      <c r="B33">
        <v>9</v>
      </c>
    </row>
    <row r="34" spans="1:10" ht="36.75" customHeight="1" x14ac:dyDescent="0.25">
      <c r="A34" t="s">
        <v>1068</v>
      </c>
      <c r="B34">
        <v>1.0289076860403765</v>
      </c>
      <c r="E34" t="s">
        <v>1069</v>
      </c>
      <c r="F34" s="28" t="s">
        <v>1070</v>
      </c>
      <c r="G34" s="28"/>
      <c r="H34" s="28"/>
      <c r="I34" s="28"/>
      <c r="J34" s="28"/>
    </row>
    <row r="35" spans="1:10" x14ac:dyDescent="0.25">
      <c r="A35" t="s">
        <v>1071</v>
      </c>
      <c r="B35">
        <v>0.16519009865386891</v>
      </c>
    </row>
    <row r="36" spans="1:10" x14ac:dyDescent="0.25">
      <c r="A36" t="s">
        <v>1072</v>
      </c>
      <c r="B36">
        <v>1.8331129326562374</v>
      </c>
    </row>
    <row r="37" spans="1:10" x14ac:dyDescent="0.25">
      <c r="A37" t="s">
        <v>1073</v>
      </c>
      <c r="B37">
        <v>0.33038019730773782</v>
      </c>
    </row>
    <row r="38" spans="1:10" ht="15.75" thickBot="1" x14ac:dyDescent="0.3">
      <c r="A38" s="11" t="s">
        <v>1074</v>
      </c>
      <c r="B38" s="11">
        <v>2.2621571627982053</v>
      </c>
      <c r="C38" s="11"/>
    </row>
  </sheetData>
  <mergeCells count="2">
    <mergeCell ref="A25:C25"/>
    <mergeCell ref="F34:J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70F6-7C4B-4679-B62E-B6F1AEBC12DB}">
  <dimension ref="A1:L31"/>
  <sheetViews>
    <sheetView workbookViewId="0">
      <selection activeCell="V9" sqref="V9"/>
    </sheetView>
  </sheetViews>
  <sheetFormatPr defaultRowHeight="15" x14ac:dyDescent="0.25"/>
  <cols>
    <col min="1" max="1" width="16.7109375" customWidth="1"/>
    <col min="2" max="2" width="18.140625" customWidth="1"/>
    <col min="3" max="3" width="16.28515625" customWidth="1"/>
    <col min="7" max="7" width="24.28515625" bestFit="1" customWidth="1"/>
    <col min="8" max="8" width="15.5703125" bestFit="1" customWidth="1"/>
    <col min="9" max="9" width="7.28515625" bestFit="1" customWidth="1"/>
    <col min="10" max="10" width="8.140625" bestFit="1" customWidth="1"/>
    <col min="11" max="11" width="7" bestFit="1" customWidth="1"/>
    <col min="12" max="12" width="10.7109375" bestFit="1" customWidth="1"/>
  </cols>
  <sheetData>
    <row r="1" spans="1:12" ht="30" x14ac:dyDescent="0.25">
      <c r="A1" s="16" t="s">
        <v>21</v>
      </c>
      <c r="B1" s="16" t="s">
        <v>1075</v>
      </c>
      <c r="C1" s="16" t="s">
        <v>1076</v>
      </c>
    </row>
    <row r="2" spans="1:12" x14ac:dyDescent="0.25">
      <c r="A2" s="15" t="s">
        <v>1077</v>
      </c>
      <c r="B2" s="15" t="s">
        <v>11</v>
      </c>
      <c r="C2" s="15" t="s">
        <v>1078</v>
      </c>
    </row>
    <row r="3" spans="1:12" x14ac:dyDescent="0.25">
      <c r="A3" s="15" t="s">
        <v>1079</v>
      </c>
      <c r="B3" s="15" t="s">
        <v>11</v>
      </c>
      <c r="C3" s="15" t="s">
        <v>1078</v>
      </c>
      <c r="G3" s="8" t="s">
        <v>1080</v>
      </c>
      <c r="H3" s="8" t="s">
        <v>1081</v>
      </c>
    </row>
    <row r="4" spans="1:12" x14ac:dyDescent="0.25">
      <c r="A4" s="15" t="s">
        <v>1082</v>
      </c>
      <c r="B4" s="15" t="s">
        <v>11</v>
      </c>
      <c r="C4" s="15" t="s">
        <v>1078</v>
      </c>
      <c r="G4" s="8" t="s">
        <v>34</v>
      </c>
      <c r="H4" t="s">
        <v>1083</v>
      </c>
      <c r="I4" t="s">
        <v>1084</v>
      </c>
      <c r="J4" t="s">
        <v>1078</v>
      </c>
      <c r="K4" t="s">
        <v>171</v>
      </c>
      <c r="L4" t="s">
        <v>175</v>
      </c>
    </row>
    <row r="5" spans="1:12" x14ac:dyDescent="0.25">
      <c r="A5" s="15" t="s">
        <v>1085</v>
      </c>
      <c r="B5" s="15" t="s">
        <v>11</v>
      </c>
      <c r="C5" s="15" t="s">
        <v>1078</v>
      </c>
      <c r="G5" s="9" t="s">
        <v>1086</v>
      </c>
      <c r="H5">
        <v>2</v>
      </c>
      <c r="I5">
        <v>4</v>
      </c>
      <c r="J5">
        <v>4</v>
      </c>
      <c r="L5">
        <v>10</v>
      </c>
    </row>
    <row r="6" spans="1:12" x14ac:dyDescent="0.25">
      <c r="A6" s="15" t="s">
        <v>1087</v>
      </c>
      <c r="B6" s="15" t="s">
        <v>11</v>
      </c>
      <c r="C6" s="15" t="s">
        <v>1078</v>
      </c>
      <c r="G6" s="9" t="s">
        <v>11</v>
      </c>
      <c r="H6">
        <v>1</v>
      </c>
      <c r="I6">
        <v>1</v>
      </c>
      <c r="J6">
        <v>8</v>
      </c>
      <c r="L6">
        <v>10</v>
      </c>
    </row>
    <row r="7" spans="1:12" x14ac:dyDescent="0.25">
      <c r="A7" s="15" t="s">
        <v>1088</v>
      </c>
      <c r="B7" s="15" t="s">
        <v>11</v>
      </c>
      <c r="C7" s="15" t="s">
        <v>1078</v>
      </c>
      <c r="G7" s="9" t="s">
        <v>1089</v>
      </c>
      <c r="H7">
        <v>5</v>
      </c>
      <c r="I7">
        <v>2</v>
      </c>
      <c r="J7">
        <v>3</v>
      </c>
      <c r="L7">
        <v>10</v>
      </c>
    </row>
    <row r="8" spans="1:12" x14ac:dyDescent="0.25">
      <c r="A8" s="15" t="s">
        <v>1090</v>
      </c>
      <c r="B8" s="15" t="s">
        <v>11</v>
      </c>
      <c r="C8" s="15" t="s">
        <v>1078</v>
      </c>
      <c r="G8" s="9" t="s">
        <v>171</v>
      </c>
    </row>
    <row r="9" spans="1:12" x14ac:dyDescent="0.25">
      <c r="A9" s="15" t="s">
        <v>1091</v>
      </c>
      <c r="B9" s="15" t="s">
        <v>11</v>
      </c>
      <c r="C9" s="15" t="s">
        <v>1078</v>
      </c>
      <c r="G9" s="9" t="s">
        <v>175</v>
      </c>
      <c r="H9">
        <v>8</v>
      </c>
      <c r="I9">
        <v>7</v>
      </c>
      <c r="J9">
        <v>15</v>
      </c>
      <c r="L9">
        <v>30</v>
      </c>
    </row>
    <row r="10" spans="1:12" x14ac:dyDescent="0.25">
      <c r="A10" s="15" t="s">
        <v>1092</v>
      </c>
      <c r="B10" s="15" t="s">
        <v>11</v>
      </c>
      <c r="C10" s="15" t="s">
        <v>1084</v>
      </c>
    </row>
    <row r="11" spans="1:12" x14ac:dyDescent="0.25">
      <c r="A11" s="15" t="s">
        <v>1093</v>
      </c>
      <c r="B11" s="15" t="s">
        <v>11</v>
      </c>
      <c r="C11" s="15" t="s">
        <v>1083</v>
      </c>
    </row>
    <row r="12" spans="1:12" x14ac:dyDescent="0.25">
      <c r="A12" s="15" t="s">
        <v>1094</v>
      </c>
      <c r="B12" s="15" t="s">
        <v>1086</v>
      </c>
      <c r="C12" s="15" t="s">
        <v>1078</v>
      </c>
      <c r="J12" s="13"/>
      <c r="K12" s="13"/>
    </row>
    <row r="13" spans="1:12" x14ac:dyDescent="0.25">
      <c r="A13" s="15" t="s">
        <v>1095</v>
      </c>
      <c r="B13" s="15" t="s">
        <v>1086</v>
      </c>
      <c r="C13" s="15" t="s">
        <v>1078</v>
      </c>
      <c r="G13" t="s">
        <v>1096</v>
      </c>
      <c r="J13" s="14"/>
      <c r="K13" s="14"/>
    </row>
    <row r="14" spans="1:12" x14ac:dyDescent="0.25">
      <c r="A14" s="15" t="s">
        <v>1097</v>
      </c>
      <c r="B14" s="15" t="s">
        <v>1086</v>
      </c>
      <c r="C14" s="15" t="s">
        <v>1078</v>
      </c>
      <c r="J14" s="14"/>
      <c r="K14" s="14"/>
    </row>
    <row r="15" spans="1:12" ht="30" x14ac:dyDescent="0.25">
      <c r="A15" s="15" t="s">
        <v>1098</v>
      </c>
      <c r="B15" s="15" t="s">
        <v>1086</v>
      </c>
      <c r="C15" s="15" t="s">
        <v>1078</v>
      </c>
      <c r="G15" s="2"/>
      <c r="H15" s="2" t="s">
        <v>1083</v>
      </c>
      <c r="I15" s="2" t="s">
        <v>1084</v>
      </c>
      <c r="J15" s="15" t="s">
        <v>1078</v>
      </c>
      <c r="K15" s="14"/>
    </row>
    <row r="16" spans="1:12" x14ac:dyDescent="0.25">
      <c r="A16" s="15" t="s">
        <v>1099</v>
      </c>
      <c r="B16" s="15" t="s">
        <v>1086</v>
      </c>
      <c r="C16" s="15" t="s">
        <v>1084</v>
      </c>
      <c r="G16" s="2" t="s">
        <v>1086</v>
      </c>
      <c r="H16" s="2">
        <f>ROUND(GETPIVOTDATA("Satisfaction_Level",$G$3,"Product_Category","Clothing")*GETPIVOTDATA("Satisfaction_Level",$G$3,"Satisfaction_Level","Dissatisfied")/GETPIVOTDATA("Satisfaction_Level",$G$3),2)</f>
        <v>2.67</v>
      </c>
      <c r="I16" s="2">
        <f>ROUND(GETPIVOTDATA("Satisfaction_Level",$G$3,"Product_Category","Clothing")*GETPIVOTDATA("Satisfaction_Level",$G$3,"Satisfaction_Level","Neutral")/GETPIVOTDATA("Satisfaction_Level",$G$3),2)</f>
        <v>2.33</v>
      </c>
      <c r="J16" s="15">
        <f>ROUND(GETPIVOTDATA("Satisfaction_Level",$G$3,"Product_Category","Clothing")*GETPIVOTDATA("Satisfaction_Level",$G$3,"Satisfaction_Level","Satisfied")/GETPIVOTDATA("Satisfaction_Level",$G$3),2)</f>
        <v>5</v>
      </c>
      <c r="K16" s="14"/>
    </row>
    <row r="17" spans="1:10" x14ac:dyDescent="0.25">
      <c r="A17" s="15" t="s">
        <v>1100</v>
      </c>
      <c r="B17" s="15" t="s">
        <v>1086</v>
      </c>
      <c r="C17" s="15" t="s">
        <v>1084</v>
      </c>
      <c r="G17" s="2" t="s">
        <v>11</v>
      </c>
      <c r="H17" s="2">
        <f>ROUND(GETPIVOTDATA("Satisfaction_Level",$G$3,"Product_Category","Electronics")*GETPIVOTDATA("Satisfaction_Level",$G$3,"Satisfaction_Level","Dissatisfied")/GETPIVOTDATA("Satisfaction_Level",$G$3),2)</f>
        <v>2.67</v>
      </c>
      <c r="I17" s="2">
        <f>ROUND(GETPIVOTDATA("Satisfaction_Level",$G$3,"Product_Category","Electronics")*GETPIVOTDATA("Satisfaction_Level",$G$3,"Satisfaction_Level","Neutral")/GETPIVOTDATA("Satisfaction_Level",$G$3),2)</f>
        <v>2.33</v>
      </c>
      <c r="J17" s="15">
        <f>ROUND(GETPIVOTDATA("Satisfaction_Level",$G$3,"Product_Category","Electronics")*GETPIVOTDATA("Satisfaction_Level",$G$3,"Satisfaction_Level","Satisfied")/GETPIVOTDATA("Satisfaction_Level",$G$3),2)</f>
        <v>5</v>
      </c>
    </row>
    <row r="18" spans="1:10" x14ac:dyDescent="0.25">
      <c r="A18" s="15" t="s">
        <v>1101</v>
      </c>
      <c r="B18" s="15" t="s">
        <v>1086</v>
      </c>
      <c r="C18" s="15" t="s">
        <v>1084</v>
      </c>
      <c r="G18" s="2" t="s">
        <v>1089</v>
      </c>
      <c r="H18" s="2">
        <f>ROUND(GETPIVOTDATA("Satisfaction_Level",$G$3,"Product_Category","Home Appliances")*GETPIVOTDATA("Satisfaction_Level",$G$3,"Satisfaction_Level","Dissatisfied")/GETPIVOTDATA("Satisfaction_Level",$G$3),2)</f>
        <v>2.67</v>
      </c>
      <c r="I18" s="2">
        <f>ROUND(GETPIVOTDATA("Satisfaction_Level",$G$3,"Product_Category","Home Appliances")*GETPIVOTDATA("Satisfaction_Level",$G$3,"Satisfaction_Level","Neutral")/GETPIVOTDATA("Satisfaction_Level",$G$3),2)</f>
        <v>2.33</v>
      </c>
      <c r="J18" s="15">
        <f>ROUND(GETPIVOTDATA("Satisfaction_Level",$G$3,"Product_Category","Home Appliances")*GETPIVOTDATA("Satisfaction_Level",$G$3,"Satisfaction_Level","Satisfied")/GETPIVOTDATA("Satisfaction_Level",$G$3),2)</f>
        <v>5</v>
      </c>
    </row>
    <row r="19" spans="1:10" x14ac:dyDescent="0.25">
      <c r="A19" s="15" t="s">
        <v>1102</v>
      </c>
      <c r="B19" s="15" t="s">
        <v>1086</v>
      </c>
      <c r="C19" s="15" t="s">
        <v>1084</v>
      </c>
    </row>
    <row r="20" spans="1:10" x14ac:dyDescent="0.25">
      <c r="A20" s="15" t="s">
        <v>1103</v>
      </c>
      <c r="B20" s="15" t="s">
        <v>1086</v>
      </c>
      <c r="C20" s="15" t="s">
        <v>1083</v>
      </c>
    </row>
    <row r="21" spans="1:10" x14ac:dyDescent="0.25">
      <c r="A21" s="15" t="s">
        <v>1104</v>
      </c>
      <c r="B21" s="15" t="s">
        <v>1086</v>
      </c>
      <c r="C21" s="15" t="s">
        <v>1083</v>
      </c>
      <c r="G21">
        <f>_xlfn.CHISQ.TEST(H5:J7,H16:J18)</f>
        <v>8.9805755967494877E-2</v>
      </c>
    </row>
    <row r="22" spans="1:10" x14ac:dyDescent="0.25">
      <c r="A22" s="15" t="s">
        <v>1105</v>
      </c>
      <c r="B22" s="15" t="s">
        <v>1089</v>
      </c>
      <c r="C22" s="15" t="s">
        <v>1078</v>
      </c>
    </row>
    <row r="23" spans="1:10" x14ac:dyDescent="0.25">
      <c r="A23" s="15" t="s">
        <v>1106</v>
      </c>
      <c r="B23" s="15" t="s">
        <v>1089</v>
      </c>
      <c r="C23" s="15" t="s">
        <v>1078</v>
      </c>
      <c r="G23" s="2"/>
      <c r="H23" s="18" t="s">
        <v>1083</v>
      </c>
      <c r="I23" s="18" t="s">
        <v>1084</v>
      </c>
      <c r="J23" s="18" t="s">
        <v>1078</v>
      </c>
    </row>
    <row r="24" spans="1:10" x14ac:dyDescent="0.25">
      <c r="A24" s="15" t="s">
        <v>1107</v>
      </c>
      <c r="B24" s="15" t="s">
        <v>1089</v>
      </c>
      <c r="C24" s="15" t="s">
        <v>1078</v>
      </c>
      <c r="G24" s="2" t="s">
        <v>1086</v>
      </c>
      <c r="H24" s="2">
        <f>POWER((GETPIVOTDATA("Satisfaction_Level",$G$3,"Product_Category","Clothing","Satisfaction_Level","Dissatisfied")-H16),2)/H16</f>
        <v>0.16812734082397002</v>
      </c>
      <c r="I24" s="2">
        <f>POWER(GETPIVOTDATA("Satisfaction_Level",$G$3,"Product_Category","Clothing","Satisfaction_Level","Neutral")-I16,2)/I16</f>
        <v>1.1969527896995706</v>
      </c>
      <c r="J24" s="2">
        <f>POWER(GETPIVOTDATA("Satisfaction_Level",$G$3,"Product_Category","Clothing","Satisfaction_Level","Satisfied")-J16,2)/J16</f>
        <v>0.2</v>
      </c>
    </row>
    <row r="25" spans="1:10" x14ac:dyDescent="0.25">
      <c r="A25" s="15" t="s">
        <v>1108</v>
      </c>
      <c r="B25" s="15" t="s">
        <v>1089</v>
      </c>
      <c r="C25" s="15" t="s">
        <v>1084</v>
      </c>
      <c r="G25" s="2" t="s">
        <v>11</v>
      </c>
      <c r="H25" s="2">
        <f>POWER(GETPIVOTDATA("Satisfaction_Level",$G$3,"Product_Category","Electronics","Satisfaction_Level","Dissatisfied")-H17,2)/H17</f>
        <v>1.0445318352059925</v>
      </c>
      <c r="I25" s="2">
        <f>POWER(GETPIVOTDATA("Satisfaction_Level",$G$3,"Product_Category","Electronics","Satisfaction_Level","Neutral")-I17,2)/I17</f>
        <v>0.75918454935622326</v>
      </c>
      <c r="J25" s="2">
        <f>POWER(GETPIVOTDATA("Satisfaction_Level",$G$3,"Product_Category","Electronics","Satisfaction_Level","Satisfied")-J17,2)/J17</f>
        <v>1.8</v>
      </c>
    </row>
    <row r="26" spans="1:10" x14ac:dyDescent="0.25">
      <c r="A26" s="15" t="s">
        <v>1109</v>
      </c>
      <c r="B26" s="15" t="s">
        <v>1089</v>
      </c>
      <c r="C26" s="15" t="s">
        <v>1084</v>
      </c>
      <c r="G26" s="2" t="s">
        <v>1110</v>
      </c>
      <c r="H26" s="2">
        <f>POWER(GETPIVOTDATA("Satisfaction_Level",$G$3,"Product_Category","Home Appliances","Satisfaction_Level","Dissatisfied")-H18,2)/H18</f>
        <v>2.0332958801498129</v>
      </c>
      <c r="I26" s="2">
        <f>POWER(GETPIVOTDATA("Satisfaction_Level",$G$3,"Product_Category","Home Appliances","Satisfaction_Level","Neutral")-I18,2)/I18</f>
        <v>4.6738197424892727E-2</v>
      </c>
      <c r="J26" s="2">
        <f>POWER(GETPIVOTDATA("Satisfaction_Level",$G$3,"Product_Category","Home Appliances","Satisfaction_Level","Satisfied")-J18,2)/J18</f>
        <v>0.8</v>
      </c>
    </row>
    <row r="27" spans="1:10" x14ac:dyDescent="0.25">
      <c r="A27" s="15" t="s">
        <v>1111</v>
      </c>
      <c r="B27" s="15" t="s">
        <v>1089</v>
      </c>
      <c r="C27" s="15" t="s">
        <v>1083</v>
      </c>
    </row>
    <row r="28" spans="1:10" x14ac:dyDescent="0.25">
      <c r="A28" s="15" t="s">
        <v>1112</v>
      </c>
      <c r="B28" s="15" t="s">
        <v>1089</v>
      </c>
      <c r="C28" s="15" t="s">
        <v>1083</v>
      </c>
    </row>
    <row r="29" spans="1:10" x14ac:dyDescent="0.25">
      <c r="A29" s="15" t="s">
        <v>1113</v>
      </c>
      <c r="B29" s="15" t="s">
        <v>1089</v>
      </c>
      <c r="C29" s="15" t="s">
        <v>1083</v>
      </c>
      <c r="H29">
        <f>SUM(H24:J26)</f>
        <v>8.0488305926604617</v>
      </c>
    </row>
    <row r="30" spans="1:10" x14ac:dyDescent="0.25">
      <c r="A30" s="15" t="s">
        <v>1114</v>
      </c>
      <c r="B30" s="15" t="s">
        <v>1089</v>
      </c>
      <c r="C30" s="15" t="s">
        <v>1083</v>
      </c>
    </row>
    <row r="31" spans="1:10" x14ac:dyDescent="0.25">
      <c r="A31" s="15" t="s">
        <v>1115</v>
      </c>
      <c r="B31" s="15" t="s">
        <v>1089</v>
      </c>
      <c r="C31" s="15" t="s">
        <v>1083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2FDC-E6F6-472B-859A-26CFC90278BB}">
  <dimension ref="A1:O21"/>
  <sheetViews>
    <sheetView workbookViewId="0">
      <selection activeCell="D35" sqref="D35"/>
    </sheetView>
  </sheetViews>
  <sheetFormatPr defaultRowHeight="15" x14ac:dyDescent="0.25"/>
  <cols>
    <col min="1" max="1" width="10.85546875" bestFit="1" customWidth="1"/>
    <col min="2" max="2" width="6.5703125" bestFit="1" customWidth="1"/>
    <col min="3" max="3" width="27.5703125" customWidth="1"/>
    <col min="4" max="4" width="14" bestFit="1" customWidth="1"/>
    <col min="5" max="5" width="20.140625" customWidth="1"/>
    <col min="6" max="6" width="10.5703125" bestFit="1" customWidth="1"/>
    <col min="7" max="7" width="18.140625" bestFit="1" customWidth="1"/>
    <col min="8" max="8" width="10.7109375" bestFit="1" customWidth="1"/>
    <col min="13" max="13" width="30.5703125" bestFit="1" customWidth="1"/>
    <col min="14" max="15" width="12" bestFit="1" customWidth="1"/>
  </cols>
  <sheetData>
    <row r="1" spans="1:15" ht="30" x14ac:dyDescent="0.25">
      <c r="A1" s="16" t="s">
        <v>1027</v>
      </c>
      <c r="B1" s="16" t="s">
        <v>1028</v>
      </c>
      <c r="C1" s="16" t="s">
        <v>1029</v>
      </c>
      <c r="D1" s="16" t="s">
        <v>1030</v>
      </c>
      <c r="E1" s="16" t="s">
        <v>1031</v>
      </c>
      <c r="F1" s="16" t="s">
        <v>1032</v>
      </c>
      <c r="G1" s="16" t="s">
        <v>1033</v>
      </c>
      <c r="H1" s="17" t="s">
        <v>1034</v>
      </c>
    </row>
    <row r="2" spans="1:15" x14ac:dyDescent="0.25">
      <c r="A2" s="15" t="s">
        <v>1035</v>
      </c>
      <c r="B2" s="15" t="s">
        <v>1036</v>
      </c>
      <c r="C2" s="15" t="s">
        <v>1037</v>
      </c>
      <c r="D2" s="15">
        <v>92</v>
      </c>
      <c r="E2" s="15">
        <v>85</v>
      </c>
      <c r="F2" s="15">
        <v>88</v>
      </c>
      <c r="G2" s="15">
        <v>9</v>
      </c>
      <c r="H2" s="2">
        <f>(E2+F2)/2</f>
        <v>86.5</v>
      </c>
      <c r="M2" t="s">
        <v>1116</v>
      </c>
    </row>
    <row r="3" spans="1:15" ht="15.75" thickBot="1" x14ac:dyDescent="0.3">
      <c r="A3" s="15" t="s">
        <v>1038</v>
      </c>
      <c r="B3" s="15" t="s">
        <v>1036</v>
      </c>
      <c r="C3" s="15" t="s">
        <v>1037</v>
      </c>
      <c r="D3" s="15">
        <v>88</v>
      </c>
      <c r="E3" s="15">
        <v>78</v>
      </c>
      <c r="F3" s="15">
        <v>81</v>
      </c>
      <c r="G3" s="15">
        <v>8</v>
      </c>
      <c r="H3" s="2">
        <f t="shared" ref="H3:H21" si="0">(E3+F3)/2</f>
        <v>79.5</v>
      </c>
    </row>
    <row r="4" spans="1:15" x14ac:dyDescent="0.25">
      <c r="A4" s="15" t="s">
        <v>1039</v>
      </c>
      <c r="B4" s="15" t="s">
        <v>1036</v>
      </c>
      <c r="C4" s="15" t="s">
        <v>1037</v>
      </c>
      <c r="D4" s="15">
        <v>95</v>
      </c>
      <c r="E4" s="15">
        <v>90</v>
      </c>
      <c r="F4" s="15">
        <v>93</v>
      </c>
      <c r="G4" s="15">
        <v>10</v>
      </c>
      <c r="H4" s="2">
        <f t="shared" si="0"/>
        <v>91.5</v>
      </c>
      <c r="M4" s="5"/>
      <c r="N4" s="5" t="s">
        <v>1060</v>
      </c>
      <c r="O4" s="5" t="s">
        <v>1061</v>
      </c>
    </row>
    <row r="5" spans="1:15" x14ac:dyDescent="0.25">
      <c r="A5" s="15" t="s">
        <v>1040</v>
      </c>
      <c r="B5" s="15" t="s">
        <v>1036</v>
      </c>
      <c r="C5" s="15" t="s">
        <v>1037</v>
      </c>
      <c r="D5" s="15">
        <v>76</v>
      </c>
      <c r="E5" s="15">
        <v>65</v>
      </c>
      <c r="F5" s="15">
        <v>70</v>
      </c>
      <c r="G5" s="15">
        <v>7</v>
      </c>
      <c r="H5" s="2">
        <f t="shared" si="0"/>
        <v>67.5</v>
      </c>
      <c r="M5" t="s">
        <v>961</v>
      </c>
      <c r="N5">
        <v>79.349999999999994</v>
      </c>
      <c r="O5">
        <v>78.400000000000006</v>
      </c>
    </row>
    <row r="6" spans="1:15" x14ac:dyDescent="0.25">
      <c r="A6" s="15" t="s">
        <v>1041</v>
      </c>
      <c r="B6" s="15" t="s">
        <v>1036</v>
      </c>
      <c r="C6" s="15" t="s">
        <v>1037</v>
      </c>
      <c r="D6" s="15">
        <v>84</v>
      </c>
      <c r="E6" s="15">
        <v>72</v>
      </c>
      <c r="F6" s="15">
        <v>75</v>
      </c>
      <c r="G6" s="15">
        <v>8</v>
      </c>
      <c r="H6" s="2">
        <f t="shared" si="0"/>
        <v>73.5</v>
      </c>
      <c r="M6" t="s">
        <v>965</v>
      </c>
      <c r="N6">
        <v>79.058333333333493</v>
      </c>
      <c r="O6">
        <v>113.71111111111128</v>
      </c>
    </row>
    <row r="7" spans="1:15" x14ac:dyDescent="0.25">
      <c r="A7" s="15" t="s">
        <v>1042</v>
      </c>
      <c r="B7" s="15" t="s">
        <v>1036</v>
      </c>
      <c r="C7" s="15" t="s">
        <v>1037</v>
      </c>
      <c r="D7" s="15">
        <v>91</v>
      </c>
      <c r="E7" s="15">
        <v>87</v>
      </c>
      <c r="F7" s="15">
        <v>89</v>
      </c>
      <c r="G7" s="15">
        <v>9</v>
      </c>
      <c r="H7" s="2">
        <f t="shared" si="0"/>
        <v>88</v>
      </c>
      <c r="M7" t="s">
        <v>1064</v>
      </c>
      <c r="N7">
        <v>10</v>
      </c>
      <c r="O7">
        <v>10</v>
      </c>
    </row>
    <row r="8" spans="1:15" x14ac:dyDescent="0.25">
      <c r="A8" s="15" t="s">
        <v>1043</v>
      </c>
      <c r="B8" s="15" t="s">
        <v>1036</v>
      </c>
      <c r="C8" s="15" t="s">
        <v>1037</v>
      </c>
      <c r="D8" s="15">
        <v>79</v>
      </c>
      <c r="E8" s="15">
        <v>68</v>
      </c>
      <c r="F8" s="15">
        <v>72</v>
      </c>
      <c r="G8" s="15">
        <v>7</v>
      </c>
      <c r="H8" s="2">
        <f t="shared" si="0"/>
        <v>70</v>
      </c>
      <c r="M8" t="s">
        <v>1067</v>
      </c>
      <c r="N8">
        <v>9</v>
      </c>
      <c r="O8">
        <v>9</v>
      </c>
    </row>
    <row r="9" spans="1:15" x14ac:dyDescent="0.25">
      <c r="A9" s="15" t="s">
        <v>1044</v>
      </c>
      <c r="B9" s="15" t="s">
        <v>1036</v>
      </c>
      <c r="C9" s="15" t="s">
        <v>1037</v>
      </c>
      <c r="D9" s="15">
        <v>85</v>
      </c>
      <c r="E9" s="15">
        <v>74</v>
      </c>
      <c r="F9" s="15">
        <v>78</v>
      </c>
      <c r="G9" s="15">
        <v>8</v>
      </c>
      <c r="H9" s="2">
        <f t="shared" si="0"/>
        <v>76</v>
      </c>
      <c r="M9" t="s">
        <v>1117</v>
      </c>
      <c r="N9">
        <v>0.69525600938049681</v>
      </c>
    </row>
    <row r="10" spans="1:15" x14ac:dyDescent="0.25">
      <c r="A10" s="15" t="s">
        <v>1045</v>
      </c>
      <c r="B10" s="15" t="s">
        <v>1036</v>
      </c>
      <c r="C10" s="15" t="s">
        <v>1037</v>
      </c>
      <c r="D10" s="15">
        <v>93</v>
      </c>
      <c r="E10" s="15">
        <v>88</v>
      </c>
      <c r="F10" s="15">
        <v>91</v>
      </c>
      <c r="G10" s="15">
        <v>10</v>
      </c>
      <c r="H10" s="2">
        <f t="shared" si="0"/>
        <v>89.5</v>
      </c>
      <c r="M10" t="s">
        <v>1118</v>
      </c>
      <c r="N10">
        <v>0.2984375522720244</v>
      </c>
    </row>
    <row r="11" spans="1:15" ht="15.75" thickBot="1" x14ac:dyDescent="0.3">
      <c r="A11" s="15" t="s">
        <v>1046</v>
      </c>
      <c r="B11" s="15" t="s">
        <v>1036</v>
      </c>
      <c r="C11" s="15" t="s">
        <v>1037</v>
      </c>
      <c r="D11" s="15">
        <v>81</v>
      </c>
      <c r="E11" s="15">
        <v>70</v>
      </c>
      <c r="F11" s="15">
        <v>73</v>
      </c>
      <c r="G11" s="15">
        <v>7</v>
      </c>
      <c r="H11" s="2">
        <f t="shared" si="0"/>
        <v>71.5</v>
      </c>
      <c r="M11" s="11" t="s">
        <v>1119</v>
      </c>
      <c r="N11" s="11">
        <v>0.3145749061513079</v>
      </c>
      <c r="O11" s="11"/>
    </row>
    <row r="12" spans="1:15" x14ac:dyDescent="0.25">
      <c r="A12" s="15" t="s">
        <v>1047</v>
      </c>
      <c r="B12" s="15" t="s">
        <v>1048</v>
      </c>
      <c r="C12" s="15" t="s">
        <v>1049</v>
      </c>
      <c r="D12" s="15">
        <v>90</v>
      </c>
      <c r="E12" s="15">
        <v>82</v>
      </c>
      <c r="F12" s="15">
        <v>86</v>
      </c>
      <c r="G12" s="15">
        <v>9</v>
      </c>
      <c r="H12" s="2">
        <f t="shared" si="0"/>
        <v>84</v>
      </c>
    </row>
    <row r="13" spans="1:15" x14ac:dyDescent="0.25">
      <c r="A13" s="15" t="s">
        <v>1050</v>
      </c>
      <c r="B13" s="15" t="s">
        <v>1048</v>
      </c>
      <c r="C13" s="15" t="s">
        <v>1049</v>
      </c>
      <c r="D13" s="15">
        <v>86</v>
      </c>
      <c r="E13" s="15">
        <v>76</v>
      </c>
      <c r="F13" s="15">
        <v>79</v>
      </c>
      <c r="G13" s="15">
        <v>8</v>
      </c>
      <c r="H13" s="2">
        <f t="shared" si="0"/>
        <v>77.5</v>
      </c>
    </row>
    <row r="14" spans="1:15" x14ac:dyDescent="0.25">
      <c r="A14" s="15" t="s">
        <v>1051</v>
      </c>
      <c r="B14" s="15" t="s">
        <v>1048</v>
      </c>
      <c r="C14" s="15" t="s">
        <v>1049</v>
      </c>
      <c r="D14" s="15">
        <v>94</v>
      </c>
      <c r="E14" s="15">
        <v>91</v>
      </c>
      <c r="F14" s="15">
        <v>95</v>
      </c>
      <c r="G14" s="15">
        <v>10</v>
      </c>
      <c r="H14" s="2">
        <f t="shared" si="0"/>
        <v>93</v>
      </c>
    </row>
    <row r="15" spans="1:15" x14ac:dyDescent="0.25">
      <c r="A15" s="15" t="s">
        <v>1052</v>
      </c>
      <c r="B15" s="15" t="s">
        <v>1048</v>
      </c>
      <c r="C15" s="15" t="s">
        <v>1049</v>
      </c>
      <c r="D15" s="15">
        <v>73</v>
      </c>
      <c r="E15" s="15">
        <v>60</v>
      </c>
      <c r="F15" s="15">
        <v>66</v>
      </c>
      <c r="G15" s="15">
        <v>6</v>
      </c>
      <c r="H15" s="2">
        <f t="shared" si="0"/>
        <v>63</v>
      </c>
    </row>
    <row r="16" spans="1:15" x14ac:dyDescent="0.25">
      <c r="A16" s="15" t="s">
        <v>1053</v>
      </c>
      <c r="B16" s="15" t="s">
        <v>1048</v>
      </c>
      <c r="C16" s="15" t="s">
        <v>1049</v>
      </c>
      <c r="D16" s="15">
        <v>80</v>
      </c>
      <c r="E16" s="15">
        <v>69</v>
      </c>
      <c r="F16" s="15">
        <v>74</v>
      </c>
      <c r="G16" s="15">
        <v>7</v>
      </c>
      <c r="H16" s="2">
        <f t="shared" si="0"/>
        <v>71.5</v>
      </c>
    </row>
    <row r="17" spans="1:8" x14ac:dyDescent="0.25">
      <c r="A17" s="15" t="s">
        <v>1054</v>
      </c>
      <c r="B17" s="15" t="s">
        <v>1048</v>
      </c>
      <c r="C17" s="15" t="s">
        <v>1049</v>
      </c>
      <c r="D17" s="15">
        <v>89</v>
      </c>
      <c r="E17" s="15">
        <v>84</v>
      </c>
      <c r="F17" s="15">
        <v>87</v>
      </c>
      <c r="G17" s="15">
        <v>9</v>
      </c>
      <c r="H17" s="2">
        <f t="shared" si="0"/>
        <v>85.5</v>
      </c>
    </row>
    <row r="18" spans="1:8" x14ac:dyDescent="0.25">
      <c r="A18" s="15" t="s">
        <v>1055</v>
      </c>
      <c r="B18" s="15" t="s">
        <v>1048</v>
      </c>
      <c r="C18" s="15" t="s">
        <v>1049</v>
      </c>
      <c r="D18" s="15">
        <v>77</v>
      </c>
      <c r="E18" s="15">
        <v>65</v>
      </c>
      <c r="F18" s="15">
        <v>70</v>
      </c>
      <c r="G18" s="15">
        <v>7</v>
      </c>
      <c r="H18" s="2">
        <f t="shared" si="0"/>
        <v>67.5</v>
      </c>
    </row>
    <row r="19" spans="1:8" x14ac:dyDescent="0.25">
      <c r="A19" s="15" t="s">
        <v>1056</v>
      </c>
      <c r="B19" s="15" t="s">
        <v>1048</v>
      </c>
      <c r="C19" s="15" t="s">
        <v>1049</v>
      </c>
      <c r="D19" s="15">
        <v>83</v>
      </c>
      <c r="E19" s="15">
        <v>72</v>
      </c>
      <c r="F19" s="15">
        <v>76</v>
      </c>
      <c r="G19" s="15">
        <v>8</v>
      </c>
      <c r="H19" s="2">
        <f t="shared" si="0"/>
        <v>74</v>
      </c>
    </row>
    <row r="20" spans="1:8" x14ac:dyDescent="0.25">
      <c r="A20" s="15" t="s">
        <v>1057</v>
      </c>
      <c r="B20" s="15" t="s">
        <v>1048</v>
      </c>
      <c r="C20" s="15" t="s">
        <v>1049</v>
      </c>
      <c r="D20" s="15">
        <v>96</v>
      </c>
      <c r="E20" s="15">
        <v>93</v>
      </c>
      <c r="F20" s="15">
        <v>97</v>
      </c>
      <c r="G20" s="15">
        <v>10</v>
      </c>
      <c r="H20" s="2">
        <f t="shared" si="0"/>
        <v>95</v>
      </c>
    </row>
    <row r="21" spans="1:8" x14ac:dyDescent="0.25">
      <c r="A21" s="15" t="s">
        <v>1058</v>
      </c>
      <c r="B21" s="15" t="s">
        <v>1048</v>
      </c>
      <c r="C21" s="15" t="s">
        <v>1049</v>
      </c>
      <c r="D21" s="15">
        <v>82</v>
      </c>
      <c r="E21" s="15">
        <v>71</v>
      </c>
      <c r="F21" s="15">
        <v>75</v>
      </c>
      <c r="G21" s="15">
        <v>8</v>
      </c>
      <c r="H21" s="2">
        <f t="shared" si="0"/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88F0-6A9A-4EDE-8F3A-2D1D75649DE6}">
  <dimension ref="A1:G16"/>
  <sheetViews>
    <sheetView workbookViewId="0">
      <selection activeCell="A2" sqref="A2"/>
    </sheetView>
  </sheetViews>
  <sheetFormatPr defaultRowHeight="15" x14ac:dyDescent="0.25"/>
  <cols>
    <col min="1" max="1" width="20.28515625" bestFit="1" customWidth="1"/>
    <col min="6" max="6" width="29" bestFit="1" customWidth="1"/>
    <col min="7" max="7" width="20.5703125" bestFit="1" customWidth="1"/>
    <col min="8" max="8" width="9" bestFit="1" customWidth="1"/>
  </cols>
  <sheetData>
    <row r="1" spans="1:7" x14ac:dyDescent="0.25">
      <c r="A1" s="1" t="s">
        <v>1120</v>
      </c>
    </row>
    <row r="2" spans="1:7" x14ac:dyDescent="0.25">
      <c r="A2" s="2">
        <v>495</v>
      </c>
      <c r="B2">
        <v>0</v>
      </c>
      <c r="F2" t="s">
        <v>1121</v>
      </c>
    </row>
    <row r="3" spans="1:7" ht="15.75" thickBot="1" x14ac:dyDescent="0.3">
      <c r="A3" s="2">
        <v>502</v>
      </c>
      <c r="B3">
        <v>0</v>
      </c>
    </row>
    <row r="4" spans="1:7" x14ac:dyDescent="0.25">
      <c r="A4" s="2">
        <v>488</v>
      </c>
      <c r="F4" s="5"/>
      <c r="G4" s="5" t="s">
        <v>1120</v>
      </c>
    </row>
    <row r="5" spans="1:7" x14ac:dyDescent="0.25">
      <c r="A5" s="2">
        <v>510</v>
      </c>
      <c r="F5" t="s">
        <v>961</v>
      </c>
      <c r="G5">
        <v>497.86666666666667</v>
      </c>
    </row>
    <row r="6" spans="1:7" x14ac:dyDescent="0.25">
      <c r="A6" s="2">
        <v>492</v>
      </c>
      <c r="F6" t="s">
        <v>1122</v>
      </c>
      <c r="G6">
        <v>225</v>
      </c>
    </row>
    <row r="7" spans="1:7" x14ac:dyDescent="0.25">
      <c r="A7" s="2">
        <v>505</v>
      </c>
      <c r="F7" t="s">
        <v>1064</v>
      </c>
      <c r="G7">
        <v>15</v>
      </c>
    </row>
    <row r="8" spans="1:7" x14ac:dyDescent="0.25">
      <c r="A8" s="2">
        <v>498</v>
      </c>
      <c r="F8" t="s">
        <v>1066</v>
      </c>
      <c r="G8">
        <v>500</v>
      </c>
    </row>
    <row r="9" spans="1:7" x14ac:dyDescent="0.25">
      <c r="A9" s="2">
        <v>490</v>
      </c>
      <c r="F9" t="s">
        <v>1123</v>
      </c>
      <c r="G9">
        <v>-0.55082427976646609</v>
      </c>
    </row>
    <row r="10" spans="1:7" x14ac:dyDescent="0.25">
      <c r="A10" s="2">
        <v>508</v>
      </c>
      <c r="F10" t="s">
        <v>1124</v>
      </c>
      <c r="G10">
        <v>0.2908770692073549</v>
      </c>
    </row>
    <row r="11" spans="1:7" x14ac:dyDescent="0.25">
      <c r="A11" s="2">
        <v>496</v>
      </c>
      <c r="F11" t="s">
        <v>1125</v>
      </c>
      <c r="G11">
        <v>1.6448536269514715</v>
      </c>
    </row>
    <row r="12" spans="1:7" x14ac:dyDescent="0.25">
      <c r="A12" s="2">
        <v>501</v>
      </c>
      <c r="F12" t="s">
        <v>1126</v>
      </c>
      <c r="G12">
        <v>0.5817541384147098</v>
      </c>
    </row>
    <row r="13" spans="1:7" ht="15.75" thickBot="1" x14ac:dyDescent="0.3">
      <c r="A13" s="2">
        <v>489</v>
      </c>
      <c r="F13" s="11" t="s">
        <v>1127</v>
      </c>
      <c r="G13" s="11">
        <v>1.9599639845400536</v>
      </c>
    </row>
    <row r="14" spans="1:7" x14ac:dyDescent="0.25">
      <c r="A14" s="2">
        <v>504</v>
      </c>
    </row>
    <row r="15" spans="1:7" x14ac:dyDescent="0.25">
      <c r="A15" s="2">
        <v>493</v>
      </c>
    </row>
    <row r="16" spans="1:7" x14ac:dyDescent="0.25">
      <c r="A16" s="2">
        <v>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9248-B1A6-42B6-B27A-B8AC9C5495DE}">
  <dimension ref="A1:L28"/>
  <sheetViews>
    <sheetView workbookViewId="0">
      <selection activeCell="A4" sqref="A4"/>
    </sheetView>
  </sheetViews>
  <sheetFormatPr defaultRowHeight="15" x14ac:dyDescent="0.25"/>
  <cols>
    <col min="1" max="1" width="15.42578125" customWidth="1"/>
    <col min="2" max="2" width="15.7109375" customWidth="1"/>
    <col min="3" max="3" width="18.85546875" customWidth="1"/>
    <col min="6" max="6" width="19.140625" bestFit="1" customWidth="1"/>
  </cols>
  <sheetData>
    <row r="1" spans="1:12" x14ac:dyDescent="0.25">
      <c r="A1" s="3" t="s">
        <v>1128</v>
      </c>
      <c r="B1" s="3" t="s">
        <v>1129</v>
      </c>
      <c r="C1" s="3" t="s">
        <v>1130</v>
      </c>
      <c r="F1" t="s">
        <v>1131</v>
      </c>
    </row>
    <row r="2" spans="1:12" x14ac:dyDescent="0.25">
      <c r="A2" s="2">
        <v>78</v>
      </c>
      <c r="B2" s="2">
        <v>85</v>
      </c>
      <c r="C2" s="2">
        <v>92</v>
      </c>
    </row>
    <row r="3" spans="1:12" ht="15.75" thickBot="1" x14ac:dyDescent="0.3">
      <c r="A3" s="2">
        <v>82</v>
      </c>
      <c r="B3" s="2">
        <v>89</v>
      </c>
      <c r="C3" s="2">
        <v>95</v>
      </c>
      <c r="F3" t="s">
        <v>1132</v>
      </c>
    </row>
    <row r="4" spans="1:12" x14ac:dyDescent="0.25">
      <c r="A4" s="2">
        <v>75</v>
      </c>
      <c r="B4" s="2">
        <v>84</v>
      </c>
      <c r="C4" s="2">
        <v>88</v>
      </c>
      <c r="F4" s="5" t="s">
        <v>1133</v>
      </c>
      <c r="G4" s="5" t="s">
        <v>1134</v>
      </c>
      <c r="H4" s="5" t="s">
        <v>1135</v>
      </c>
      <c r="I4" s="5" t="s">
        <v>1136</v>
      </c>
      <c r="J4" s="5" t="s">
        <v>965</v>
      </c>
    </row>
    <row r="5" spans="1:12" x14ac:dyDescent="0.25">
      <c r="A5" s="2">
        <v>80</v>
      </c>
      <c r="B5" s="2">
        <v>88</v>
      </c>
      <c r="C5" s="2">
        <v>94</v>
      </c>
      <c r="F5" t="s">
        <v>1128</v>
      </c>
      <c r="G5">
        <v>7</v>
      </c>
      <c r="H5">
        <v>548</v>
      </c>
      <c r="I5">
        <v>78.285714285714292</v>
      </c>
      <c r="J5">
        <v>10.571428571428571</v>
      </c>
    </row>
    <row r="6" spans="1:12" x14ac:dyDescent="0.25">
      <c r="A6" s="2">
        <v>73</v>
      </c>
      <c r="B6" s="2">
        <v>86</v>
      </c>
      <c r="C6" s="2">
        <v>91</v>
      </c>
      <c r="F6" t="s">
        <v>1129</v>
      </c>
      <c r="G6">
        <v>7</v>
      </c>
      <c r="H6">
        <v>605</v>
      </c>
      <c r="I6">
        <v>86.428571428571431</v>
      </c>
      <c r="J6">
        <v>6.9523809523809517</v>
      </c>
    </row>
    <row r="7" spans="1:12" ht="15.75" thickBot="1" x14ac:dyDescent="0.3">
      <c r="A7" s="2">
        <v>79</v>
      </c>
      <c r="B7" s="2">
        <v>90</v>
      </c>
      <c r="C7" s="2">
        <v>96</v>
      </c>
      <c r="F7" s="11" t="s">
        <v>1130</v>
      </c>
      <c r="G7" s="11">
        <v>7</v>
      </c>
      <c r="H7" s="11">
        <v>646</v>
      </c>
      <c r="I7" s="11">
        <v>92.285714285714292</v>
      </c>
      <c r="J7" s="11">
        <v>8.2380952380952372</v>
      </c>
    </row>
    <row r="8" spans="1:12" x14ac:dyDescent="0.25">
      <c r="A8" s="2">
        <v>81</v>
      </c>
      <c r="B8" s="2">
        <v>83</v>
      </c>
      <c r="C8" s="2">
        <v>90</v>
      </c>
    </row>
    <row r="10" spans="1:12" ht="15.75" thickBot="1" x14ac:dyDescent="0.3">
      <c r="F10" t="s">
        <v>1137</v>
      </c>
    </row>
    <row r="11" spans="1:12" x14ac:dyDescent="0.25">
      <c r="F11" s="5" t="s">
        <v>1138</v>
      </c>
      <c r="G11" s="5" t="s">
        <v>1139</v>
      </c>
      <c r="H11" s="5" t="s">
        <v>1067</v>
      </c>
      <c r="I11" s="5" t="s">
        <v>1140</v>
      </c>
      <c r="J11" s="5" t="s">
        <v>1117</v>
      </c>
      <c r="K11" s="5" t="s">
        <v>1141</v>
      </c>
      <c r="L11" s="5" t="s">
        <v>1142</v>
      </c>
    </row>
    <row r="12" spans="1:12" x14ac:dyDescent="0.25">
      <c r="F12" t="s">
        <v>1143</v>
      </c>
      <c r="G12">
        <v>692.09523809523785</v>
      </c>
      <c r="H12">
        <v>2</v>
      </c>
      <c r="I12">
        <v>346.04761904761892</v>
      </c>
      <c r="J12">
        <v>40.29759704251385</v>
      </c>
      <c r="K12">
        <v>2.2529462453409476E-7</v>
      </c>
      <c r="L12">
        <v>3.5545571456617879</v>
      </c>
    </row>
    <row r="13" spans="1:12" x14ac:dyDescent="0.25">
      <c r="F13" t="s">
        <v>1144</v>
      </c>
      <c r="G13">
        <v>154.57142857142856</v>
      </c>
      <c r="H13">
        <v>18</v>
      </c>
      <c r="I13">
        <v>8.587301587301587</v>
      </c>
    </row>
    <row r="15" spans="1:12" ht="15.75" thickBot="1" x14ac:dyDescent="0.3">
      <c r="F15" s="11" t="s">
        <v>1145</v>
      </c>
      <c r="G15" s="11">
        <v>846.6666666666664</v>
      </c>
      <c r="H15" s="11">
        <v>20</v>
      </c>
      <c r="I15" s="11"/>
      <c r="J15" s="11"/>
      <c r="K15" s="11"/>
      <c r="L15" s="11"/>
    </row>
    <row r="22" spans="2:2" x14ac:dyDescent="0.25">
      <c r="B22" s="19" t="s">
        <v>1146</v>
      </c>
    </row>
    <row r="23" spans="2:2" x14ac:dyDescent="0.25">
      <c r="B23" s="20"/>
    </row>
    <row r="24" spans="2:2" x14ac:dyDescent="0.25">
      <c r="B24" s="19" t="s">
        <v>1147</v>
      </c>
    </row>
    <row r="26" spans="2:2" x14ac:dyDescent="0.25">
      <c r="B26" s="21" t="s">
        <v>1148</v>
      </c>
    </row>
    <row r="28" spans="2:2" x14ac:dyDescent="0.25">
      <c r="B28" s="21" t="s">
        <v>1149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F3F3-C99A-4B8E-999B-4DDAB216EB21}">
  <dimension ref="A1:P18"/>
  <sheetViews>
    <sheetView workbookViewId="0">
      <selection activeCell="B31" sqref="B31"/>
    </sheetView>
  </sheetViews>
  <sheetFormatPr defaultRowHeight="15" x14ac:dyDescent="0.25"/>
  <cols>
    <col min="1" max="1" width="14" customWidth="1"/>
    <col min="2" max="2" width="32.140625" customWidth="1"/>
    <col min="3" max="3" width="33.42578125" customWidth="1"/>
    <col min="8" max="8" width="31.28515625" bestFit="1" customWidth="1"/>
    <col min="9" max="9" width="12" bestFit="1" customWidth="1"/>
    <col min="10" max="10" width="14.5703125" bestFit="1" customWidth="1"/>
    <col min="12" max="12" width="12" bestFit="1" customWidth="1"/>
    <col min="13" max="13" width="13.42578125" bestFit="1" customWidth="1"/>
    <col min="14" max="14" width="12" bestFit="1" customWidth="1"/>
    <col min="15" max="15" width="12.42578125" bestFit="1" customWidth="1"/>
    <col min="16" max="16" width="12.5703125" bestFit="1" customWidth="1"/>
  </cols>
  <sheetData>
    <row r="1" spans="1:16" x14ac:dyDescent="0.25">
      <c r="A1" s="3" t="s">
        <v>8</v>
      </c>
      <c r="B1" s="3" t="s">
        <v>1151</v>
      </c>
      <c r="C1" s="3" t="s">
        <v>1150</v>
      </c>
      <c r="H1" t="s">
        <v>1152</v>
      </c>
    </row>
    <row r="2" spans="1:16" ht="15.75" thickBot="1" x14ac:dyDescent="0.3">
      <c r="A2" s="2">
        <v>1</v>
      </c>
      <c r="B2" s="2">
        <v>10</v>
      </c>
      <c r="C2" s="2">
        <v>84.48</v>
      </c>
    </row>
    <row r="3" spans="1:16" x14ac:dyDescent="0.25">
      <c r="A3" s="2">
        <v>2</v>
      </c>
      <c r="B3" s="2">
        <v>12</v>
      </c>
      <c r="C3" s="2">
        <v>87.71</v>
      </c>
      <c r="H3" s="22" t="s">
        <v>1153</v>
      </c>
      <c r="I3" s="22"/>
    </row>
    <row r="4" spans="1:16" x14ac:dyDescent="0.25">
      <c r="A4" s="2">
        <v>3</v>
      </c>
      <c r="B4" s="2">
        <v>15</v>
      </c>
      <c r="C4" s="2">
        <v>101.24</v>
      </c>
      <c r="H4" t="s">
        <v>1154</v>
      </c>
      <c r="I4">
        <v>0.99260485686656319</v>
      </c>
    </row>
    <row r="5" spans="1:16" x14ac:dyDescent="0.25">
      <c r="A5" s="2">
        <v>4</v>
      </c>
      <c r="B5" s="2">
        <v>18</v>
      </c>
      <c r="C5" s="2">
        <v>115.22</v>
      </c>
      <c r="H5" t="s">
        <v>1155</v>
      </c>
      <c r="I5">
        <v>0.98526440187509046</v>
      </c>
    </row>
    <row r="6" spans="1:16" x14ac:dyDescent="0.25">
      <c r="A6" s="2">
        <v>5</v>
      </c>
      <c r="B6" s="2">
        <v>20</v>
      </c>
      <c r="C6" s="2">
        <v>112.83</v>
      </c>
      <c r="H6" t="s">
        <v>1156</v>
      </c>
      <c r="I6">
        <v>0.9841308943270205</v>
      </c>
    </row>
    <row r="7" spans="1:16" x14ac:dyDescent="0.25">
      <c r="A7" s="2">
        <v>6</v>
      </c>
      <c r="B7" s="2">
        <v>22</v>
      </c>
      <c r="C7" s="2">
        <v>119.23</v>
      </c>
      <c r="H7" t="s">
        <v>1157</v>
      </c>
      <c r="I7">
        <v>4.1714131769721989</v>
      </c>
    </row>
    <row r="8" spans="1:16" ht="15.75" thickBot="1" x14ac:dyDescent="0.3">
      <c r="A8" s="2">
        <v>7</v>
      </c>
      <c r="B8" s="2">
        <v>25</v>
      </c>
      <c r="C8" s="2">
        <v>137.9</v>
      </c>
      <c r="H8" s="11" t="s">
        <v>1064</v>
      </c>
      <c r="I8" s="11">
        <v>15</v>
      </c>
    </row>
    <row r="9" spans="1:16" x14ac:dyDescent="0.25">
      <c r="A9" s="2">
        <v>8</v>
      </c>
      <c r="B9" s="2">
        <v>28</v>
      </c>
      <c r="C9" s="2">
        <v>143.44</v>
      </c>
    </row>
    <row r="10" spans="1:16" ht="15.75" thickBot="1" x14ac:dyDescent="0.3">
      <c r="A10" s="2">
        <v>9</v>
      </c>
      <c r="B10" s="2">
        <v>30</v>
      </c>
      <c r="C10" s="2">
        <v>143.65</v>
      </c>
      <c r="H10" t="s">
        <v>1137</v>
      </c>
    </row>
    <row r="11" spans="1:16" x14ac:dyDescent="0.25">
      <c r="A11" s="2">
        <v>10</v>
      </c>
      <c r="B11" s="2">
        <v>32</v>
      </c>
      <c r="C11" s="2">
        <v>155.11000000000001</v>
      </c>
      <c r="H11" s="5"/>
      <c r="I11" s="5" t="s">
        <v>1067</v>
      </c>
      <c r="J11" s="5" t="s">
        <v>1139</v>
      </c>
      <c r="K11" s="5" t="s">
        <v>1140</v>
      </c>
      <c r="L11" s="5" t="s">
        <v>1117</v>
      </c>
      <c r="M11" s="5" t="s">
        <v>1161</v>
      </c>
    </row>
    <row r="12" spans="1:16" x14ac:dyDescent="0.25">
      <c r="A12" s="2">
        <v>11</v>
      </c>
      <c r="B12" s="2">
        <v>35</v>
      </c>
      <c r="C12" s="2">
        <v>159.68</v>
      </c>
      <c r="H12" t="s">
        <v>1158</v>
      </c>
      <c r="I12">
        <v>1</v>
      </c>
      <c r="J12">
        <v>15124.979430724114</v>
      </c>
      <c r="K12">
        <v>15124.979430724114</v>
      </c>
      <c r="L12">
        <v>869.21732771229142</v>
      </c>
      <c r="M12">
        <v>2.7152308032692879E-13</v>
      </c>
    </row>
    <row r="13" spans="1:16" x14ac:dyDescent="0.25">
      <c r="A13" s="2">
        <v>12</v>
      </c>
      <c r="B13" s="2">
        <v>38</v>
      </c>
      <c r="C13" s="2">
        <v>169.27</v>
      </c>
      <c r="H13" t="s">
        <v>1159</v>
      </c>
      <c r="I13">
        <v>13</v>
      </c>
      <c r="J13">
        <v>226.20894260922478</v>
      </c>
      <c r="K13">
        <v>17.400687893017292</v>
      </c>
    </row>
    <row r="14" spans="1:16" ht="15.75" thickBot="1" x14ac:dyDescent="0.3">
      <c r="A14" s="2">
        <v>13</v>
      </c>
      <c r="B14" s="2">
        <v>40</v>
      </c>
      <c r="C14" s="2">
        <v>179.21</v>
      </c>
      <c r="H14" s="11" t="s">
        <v>1145</v>
      </c>
      <c r="I14" s="11">
        <v>14</v>
      </c>
      <c r="J14" s="11">
        <v>15351.188373333338</v>
      </c>
      <c r="K14" s="11"/>
      <c r="L14" s="11"/>
      <c r="M14" s="11"/>
    </row>
    <row r="15" spans="1:16" ht="15.75" thickBot="1" x14ac:dyDescent="0.3">
      <c r="A15" s="2">
        <v>14</v>
      </c>
      <c r="B15" s="2">
        <v>42</v>
      </c>
      <c r="C15" s="2">
        <v>174.83</v>
      </c>
    </row>
    <row r="16" spans="1:16" x14ac:dyDescent="0.25">
      <c r="A16" s="2">
        <v>15</v>
      </c>
      <c r="B16" s="2">
        <v>45</v>
      </c>
      <c r="C16" s="2">
        <v>185.38</v>
      </c>
      <c r="H16" s="5"/>
      <c r="I16" s="5" t="s">
        <v>1162</v>
      </c>
      <c r="J16" s="5" t="s">
        <v>1157</v>
      </c>
      <c r="K16" s="5" t="s">
        <v>1068</v>
      </c>
      <c r="L16" s="5" t="s">
        <v>1141</v>
      </c>
      <c r="M16" s="5" t="s">
        <v>1163</v>
      </c>
      <c r="N16" s="5" t="s">
        <v>1164</v>
      </c>
      <c r="O16" s="5" t="s">
        <v>1165</v>
      </c>
      <c r="P16" s="5" t="s">
        <v>1166</v>
      </c>
    </row>
    <row r="17" spans="8:16" x14ac:dyDescent="0.25">
      <c r="H17" t="s">
        <v>1160</v>
      </c>
      <c r="I17">
        <v>57.236818389404817</v>
      </c>
      <c r="J17">
        <v>2.9417661406988587</v>
      </c>
      <c r="K17">
        <v>19.456617437240403</v>
      </c>
      <c r="L17">
        <v>5.3753916478343782E-11</v>
      </c>
      <c r="M17">
        <v>50.881519024395487</v>
      </c>
      <c r="N17">
        <v>63.592117754414147</v>
      </c>
      <c r="O17">
        <v>50.881519024395487</v>
      </c>
      <c r="P17">
        <v>63.592117754414147</v>
      </c>
    </row>
    <row r="18" spans="8:16" ht="15.75" thickBot="1" x14ac:dyDescent="0.3">
      <c r="H18" s="11" t="s">
        <v>1151</v>
      </c>
      <c r="I18" s="11">
        <v>2.9384168062109892</v>
      </c>
      <c r="J18" s="11">
        <v>9.9666500977422107E-2</v>
      </c>
      <c r="K18" s="11">
        <v>29.482491884375893</v>
      </c>
      <c r="L18" s="11">
        <v>2.7152308032693167E-13</v>
      </c>
      <c r="M18" s="11">
        <v>2.7231004214000483</v>
      </c>
      <c r="N18" s="11">
        <v>3.1537331910219302</v>
      </c>
      <c r="O18" s="11">
        <v>2.7231004214000483</v>
      </c>
      <c r="P18" s="11">
        <v>3.1537331910219302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EC1E-3272-4A66-9B63-9282384559D2}">
  <dimension ref="A1:R21"/>
  <sheetViews>
    <sheetView zoomScaleNormal="100" workbookViewId="0">
      <selection activeCell="G25" sqref="G25"/>
    </sheetView>
  </sheetViews>
  <sheetFormatPr defaultRowHeight="15" x14ac:dyDescent="0.25"/>
  <cols>
    <col min="1" max="1" width="29.140625" bestFit="1" customWidth="1"/>
    <col min="2" max="2" width="15.5703125" bestFit="1" customWidth="1"/>
    <col min="3" max="3" width="18.140625" bestFit="1" customWidth="1"/>
    <col min="4" max="4" width="17.7109375" bestFit="1" customWidth="1"/>
    <col min="5" max="6" width="11.140625" bestFit="1" customWidth="1"/>
    <col min="7" max="7" width="12.42578125" bestFit="1" customWidth="1"/>
    <col min="10" max="10" width="29.140625" bestFit="1" customWidth="1"/>
    <col min="11" max="11" width="12.7109375" bestFit="1" customWidth="1"/>
    <col min="12" max="12" width="14.5703125" bestFit="1" customWidth="1"/>
    <col min="14" max="14" width="12" bestFit="1" customWidth="1"/>
    <col min="15" max="15" width="13.42578125" bestFit="1" customWidth="1"/>
    <col min="16" max="18" width="14" bestFit="1" customWidth="1"/>
  </cols>
  <sheetData>
    <row r="1" spans="1:18" x14ac:dyDescent="0.25">
      <c r="A1" s="1" t="s">
        <v>1169</v>
      </c>
      <c r="B1" s="1" t="s">
        <v>1170</v>
      </c>
      <c r="C1" s="1" t="s">
        <v>1171</v>
      </c>
      <c r="D1" s="1" t="s">
        <v>1172</v>
      </c>
      <c r="E1" s="1" t="s">
        <v>1173</v>
      </c>
      <c r="F1" s="1" t="s">
        <v>1167</v>
      </c>
      <c r="G1" s="1" t="s">
        <v>1168</v>
      </c>
      <c r="J1" t="s">
        <v>1152</v>
      </c>
    </row>
    <row r="2" spans="1:18" ht="15.75" thickBot="1" x14ac:dyDescent="0.3">
      <c r="A2" s="2">
        <v>24.98</v>
      </c>
      <c r="B2" s="2">
        <v>4443</v>
      </c>
      <c r="C2" s="2">
        <v>29.35</v>
      </c>
      <c r="D2" s="2">
        <v>7.82</v>
      </c>
      <c r="E2" s="2">
        <v>5273</v>
      </c>
      <c r="F2" s="2">
        <v>142.66</v>
      </c>
      <c r="G2" s="2">
        <v>59.2</v>
      </c>
    </row>
    <row r="3" spans="1:18" x14ac:dyDescent="0.25">
      <c r="A3" s="2">
        <v>48.03</v>
      </c>
      <c r="B3" s="2">
        <v>8298</v>
      </c>
      <c r="C3" s="2">
        <v>35.6</v>
      </c>
      <c r="D3" s="2">
        <v>21.04</v>
      </c>
      <c r="E3" s="2">
        <v>9383</v>
      </c>
      <c r="F3" s="2">
        <v>263.75</v>
      </c>
      <c r="G3" s="2">
        <v>109.08</v>
      </c>
      <c r="J3" s="22" t="s">
        <v>1153</v>
      </c>
      <c r="K3" s="22"/>
    </row>
    <row r="4" spans="1:18" x14ac:dyDescent="0.25">
      <c r="A4" s="2">
        <v>39.28</v>
      </c>
      <c r="B4" s="2">
        <v>6619</v>
      </c>
      <c r="C4" s="2">
        <v>36.4</v>
      </c>
      <c r="D4" s="2">
        <v>6.49</v>
      </c>
      <c r="E4" s="2">
        <v>6930</v>
      </c>
      <c r="F4" s="2">
        <v>235.88</v>
      </c>
      <c r="G4" s="2">
        <v>98.29</v>
      </c>
      <c r="J4" t="s">
        <v>1154</v>
      </c>
      <c r="K4">
        <v>0.99705355291674425</v>
      </c>
    </row>
    <row r="5" spans="1:18" x14ac:dyDescent="0.25">
      <c r="A5" s="2">
        <v>33.950000000000003</v>
      </c>
      <c r="B5" s="2">
        <v>5668</v>
      </c>
      <c r="C5" s="2">
        <v>25.55</v>
      </c>
      <c r="D5" s="2">
        <v>24.74</v>
      </c>
      <c r="E5" s="2">
        <v>7306</v>
      </c>
      <c r="F5" s="2">
        <v>140.49</v>
      </c>
      <c r="G5" s="2">
        <v>56.43</v>
      </c>
      <c r="J5" t="s">
        <v>1155</v>
      </c>
      <c r="K5">
        <v>0.99411578738390294</v>
      </c>
    </row>
    <row r="6" spans="1:18" x14ac:dyDescent="0.25">
      <c r="A6" s="2">
        <v>16.239999999999998</v>
      </c>
      <c r="B6" s="2">
        <v>3875</v>
      </c>
      <c r="C6" s="2">
        <v>49.09</v>
      </c>
      <c r="D6" s="2">
        <v>20.440000000000001</v>
      </c>
      <c r="E6" s="2">
        <v>4423</v>
      </c>
      <c r="F6" s="2">
        <v>172.74</v>
      </c>
      <c r="G6" s="2">
        <v>74.48</v>
      </c>
      <c r="J6" t="s">
        <v>1156</v>
      </c>
      <c r="K6">
        <v>0.99254666401961034</v>
      </c>
    </row>
    <row r="7" spans="1:18" x14ac:dyDescent="0.25">
      <c r="A7" s="2">
        <v>16.239999999999998</v>
      </c>
      <c r="B7" s="2">
        <v>3368</v>
      </c>
      <c r="C7" s="2">
        <v>43.25</v>
      </c>
      <c r="D7" s="2">
        <v>8.9700000000000006</v>
      </c>
      <c r="E7" s="2">
        <v>3532</v>
      </c>
      <c r="F7" s="2">
        <v>139.06</v>
      </c>
      <c r="G7" s="2">
        <v>59.33</v>
      </c>
      <c r="J7" t="s">
        <v>1157</v>
      </c>
      <c r="K7">
        <v>170.39305259269958</v>
      </c>
    </row>
    <row r="8" spans="1:18" ht="15.75" thickBot="1" x14ac:dyDescent="0.3">
      <c r="A8" s="2">
        <v>12.32</v>
      </c>
      <c r="B8" s="2">
        <v>2868</v>
      </c>
      <c r="C8" s="2">
        <v>48.18</v>
      </c>
      <c r="D8" s="2">
        <v>5.1100000000000003</v>
      </c>
      <c r="E8" s="2">
        <v>2933</v>
      </c>
      <c r="F8" s="2">
        <v>134.09</v>
      </c>
      <c r="G8" s="2">
        <v>57.88</v>
      </c>
      <c r="J8" s="11" t="s">
        <v>1064</v>
      </c>
      <c r="K8" s="11">
        <v>20</v>
      </c>
    </row>
    <row r="9" spans="1:18" x14ac:dyDescent="0.25">
      <c r="A9" s="2">
        <v>44.65</v>
      </c>
      <c r="B9" s="2">
        <v>7270</v>
      </c>
      <c r="C9" s="2">
        <v>46.84</v>
      </c>
      <c r="D9" s="2">
        <v>21.31</v>
      </c>
      <c r="E9" s="2">
        <v>8187</v>
      </c>
      <c r="F9" s="2">
        <v>301.76</v>
      </c>
      <c r="G9" s="2">
        <v>126.86</v>
      </c>
    </row>
    <row r="10" spans="1:18" ht="15.75" thickBot="1" x14ac:dyDescent="0.3">
      <c r="A10" s="2">
        <v>34.04</v>
      </c>
      <c r="B10" s="2">
        <v>5942</v>
      </c>
      <c r="C10" s="2">
        <v>37.94</v>
      </c>
      <c r="D10" s="2">
        <v>19.14</v>
      </c>
      <c r="E10" s="2">
        <v>6724</v>
      </c>
      <c r="F10" s="2">
        <v>206.28</v>
      </c>
      <c r="G10" s="2">
        <v>86.02</v>
      </c>
      <c r="J10" t="s">
        <v>1137</v>
      </c>
    </row>
    <row r="11" spans="1:18" x14ac:dyDescent="0.25">
      <c r="A11" s="2">
        <v>38.32</v>
      </c>
      <c r="B11" s="2">
        <v>6781</v>
      </c>
      <c r="C11" s="2">
        <v>47.66</v>
      </c>
      <c r="D11" s="2">
        <v>19.579999999999998</v>
      </c>
      <c r="E11" s="2">
        <v>7549</v>
      </c>
      <c r="F11" s="2">
        <v>289.33999999999997</v>
      </c>
      <c r="G11" s="2">
        <v>122.54</v>
      </c>
      <c r="J11" s="5"/>
      <c r="K11" s="5" t="s">
        <v>1067</v>
      </c>
      <c r="L11" s="5" t="s">
        <v>1139</v>
      </c>
      <c r="M11" s="5" t="s">
        <v>1140</v>
      </c>
      <c r="N11" s="5" t="s">
        <v>1117</v>
      </c>
      <c r="O11" s="5" t="s">
        <v>1161</v>
      </c>
    </row>
    <row r="12" spans="1:18" x14ac:dyDescent="0.25">
      <c r="A12" s="2">
        <v>10.82</v>
      </c>
      <c r="B12" s="2">
        <v>2277</v>
      </c>
      <c r="C12" s="2">
        <v>22.65</v>
      </c>
      <c r="D12" s="2">
        <v>20.43</v>
      </c>
      <c r="E12" s="2">
        <v>3205</v>
      </c>
      <c r="F12" s="2">
        <v>57.76</v>
      </c>
      <c r="G12" s="2">
        <v>23.83</v>
      </c>
      <c r="J12" t="s">
        <v>1158</v>
      </c>
      <c r="K12">
        <v>4</v>
      </c>
      <c r="L12">
        <v>73577264.914422125</v>
      </c>
      <c r="M12">
        <v>18394316.228605531</v>
      </c>
      <c r="N12">
        <v>633.5485214268648</v>
      </c>
      <c r="O12">
        <v>1.5842396988836385E-16</v>
      </c>
    </row>
    <row r="13" spans="1:18" x14ac:dyDescent="0.25">
      <c r="A13" s="2">
        <v>48.8</v>
      </c>
      <c r="B13" s="2">
        <v>8432</v>
      </c>
      <c r="C13" s="2">
        <v>25.88</v>
      </c>
      <c r="D13" s="2">
        <v>6.48</v>
      </c>
      <c r="E13" s="2">
        <v>9112</v>
      </c>
      <c r="F13" s="2">
        <v>220.54</v>
      </c>
      <c r="G13" s="2">
        <v>89.48</v>
      </c>
      <c r="J13" t="s">
        <v>1159</v>
      </c>
      <c r="K13">
        <v>15</v>
      </c>
      <c r="L13">
        <v>435506.88557787728</v>
      </c>
      <c r="M13">
        <v>29033.792371858486</v>
      </c>
    </row>
    <row r="14" spans="1:18" ht="15.75" thickBot="1" x14ac:dyDescent="0.3">
      <c r="A14" s="2">
        <v>43.3</v>
      </c>
      <c r="B14" s="2">
        <v>7314</v>
      </c>
      <c r="C14" s="2">
        <v>21.36</v>
      </c>
      <c r="D14" s="2">
        <v>12.17</v>
      </c>
      <c r="E14" s="2">
        <v>8297</v>
      </c>
      <c r="F14" s="2">
        <v>155.66</v>
      </c>
      <c r="G14" s="2">
        <v>61.39</v>
      </c>
      <c r="J14" s="11" t="s">
        <v>1145</v>
      </c>
      <c r="K14" s="11">
        <v>19</v>
      </c>
      <c r="L14" s="11">
        <v>74012771.799999997</v>
      </c>
      <c r="M14" s="11"/>
      <c r="N14" s="11"/>
      <c r="O14" s="11"/>
    </row>
    <row r="15" spans="1:18" ht="15.75" thickBot="1" x14ac:dyDescent="0.3">
      <c r="A15" s="2">
        <v>18.489999999999998</v>
      </c>
      <c r="B15" s="2">
        <v>3685</v>
      </c>
      <c r="C15" s="2">
        <v>29.76</v>
      </c>
      <c r="D15" s="2">
        <v>7.32</v>
      </c>
      <c r="E15" s="2">
        <v>4250</v>
      </c>
      <c r="F15" s="2">
        <v>117.22</v>
      </c>
      <c r="G15" s="2">
        <v>49.05</v>
      </c>
    </row>
    <row r="16" spans="1:18" x14ac:dyDescent="0.25">
      <c r="A16" s="2">
        <v>17.27</v>
      </c>
      <c r="B16" s="2">
        <v>3409</v>
      </c>
      <c r="C16" s="2">
        <v>31.66</v>
      </c>
      <c r="D16" s="2">
        <v>22.26</v>
      </c>
      <c r="E16" s="2">
        <v>4617</v>
      </c>
      <c r="F16" s="2">
        <v>113.64</v>
      </c>
      <c r="G16" s="2">
        <v>47.68</v>
      </c>
      <c r="J16" s="5"/>
      <c r="K16" s="5" t="s">
        <v>1162</v>
      </c>
      <c r="L16" s="5" t="s">
        <v>1157</v>
      </c>
      <c r="M16" s="5" t="s">
        <v>1068</v>
      </c>
      <c r="N16" s="5" t="s">
        <v>1141</v>
      </c>
      <c r="O16" s="5" t="s">
        <v>1163</v>
      </c>
      <c r="P16" s="5" t="s">
        <v>1164</v>
      </c>
      <c r="Q16" s="5" t="s">
        <v>1165</v>
      </c>
      <c r="R16" s="5" t="s">
        <v>1166</v>
      </c>
    </row>
    <row r="17" spans="1:18" x14ac:dyDescent="0.25">
      <c r="A17" s="2">
        <v>17.34</v>
      </c>
      <c r="B17" s="2">
        <v>4156</v>
      </c>
      <c r="C17" s="2">
        <v>28.14</v>
      </c>
      <c r="D17" s="2">
        <v>17.47</v>
      </c>
      <c r="E17" s="2">
        <v>4715</v>
      </c>
      <c r="F17" s="2">
        <v>109.5</v>
      </c>
      <c r="G17" s="2">
        <v>45.81</v>
      </c>
      <c r="J17" t="s">
        <v>1160</v>
      </c>
      <c r="K17">
        <v>906.05552827445047</v>
      </c>
      <c r="L17">
        <v>235.8870929340581</v>
      </c>
      <c r="M17">
        <v>3.8410559772667892</v>
      </c>
      <c r="N17">
        <v>1.602938368441056E-3</v>
      </c>
      <c r="O17">
        <v>403.27409123673613</v>
      </c>
      <c r="P17">
        <v>1408.8369653121649</v>
      </c>
      <c r="Q17">
        <v>403.27409123673613</v>
      </c>
      <c r="R17">
        <v>1408.8369653121649</v>
      </c>
    </row>
    <row r="18" spans="1:18" x14ac:dyDescent="0.25">
      <c r="A18" s="2">
        <v>22.17</v>
      </c>
      <c r="B18" s="2">
        <v>4321</v>
      </c>
      <c r="C18" s="2">
        <v>44.86</v>
      </c>
      <c r="D18" s="2">
        <v>11.62</v>
      </c>
      <c r="E18" s="2">
        <v>4586</v>
      </c>
      <c r="F18" s="2">
        <v>181.82</v>
      </c>
      <c r="G18" s="2">
        <v>77.39</v>
      </c>
      <c r="J18" t="s">
        <v>1169</v>
      </c>
      <c r="K18">
        <v>37.01848925100046</v>
      </c>
      <c r="L18">
        <v>21.657826392312689</v>
      </c>
      <c r="M18">
        <v>1.7092430505463809</v>
      </c>
      <c r="N18">
        <v>0.10800699942548281</v>
      </c>
      <c r="O18">
        <v>-9.1440749707069031</v>
      </c>
      <c r="P18">
        <v>83.181053472707816</v>
      </c>
      <c r="Q18">
        <v>-9.1440749707069031</v>
      </c>
      <c r="R18">
        <v>83.181053472707816</v>
      </c>
    </row>
    <row r="19" spans="1:18" x14ac:dyDescent="0.25">
      <c r="A19" s="2">
        <v>30.99</v>
      </c>
      <c r="B19" s="2">
        <v>5331</v>
      </c>
      <c r="C19" s="2">
        <v>30.7</v>
      </c>
      <c r="D19" s="2">
        <v>6.27</v>
      </c>
      <c r="E19" s="2">
        <v>5940</v>
      </c>
      <c r="F19" s="2">
        <v>170.92</v>
      </c>
      <c r="G19" s="2">
        <v>70.72</v>
      </c>
      <c r="J19" t="s">
        <v>1170</v>
      </c>
      <c r="K19">
        <v>0.79867817939814778</v>
      </c>
      <c r="L19">
        <v>0.14620357573804646</v>
      </c>
      <c r="M19">
        <v>5.4627814358599736</v>
      </c>
      <c r="N19">
        <v>6.547021261264229E-5</v>
      </c>
      <c r="O19">
        <v>0.48705263433207463</v>
      </c>
      <c r="P19">
        <v>1.1103037244642209</v>
      </c>
      <c r="Q19">
        <v>0.48705263433207463</v>
      </c>
      <c r="R19">
        <v>1.1103037244642209</v>
      </c>
    </row>
    <row r="20" spans="1:18" x14ac:dyDescent="0.25">
      <c r="A20" s="2">
        <v>27.28</v>
      </c>
      <c r="B20" s="2">
        <v>5338</v>
      </c>
      <c r="C20" s="2">
        <v>28.43</v>
      </c>
      <c r="D20" s="2">
        <v>11.22</v>
      </c>
      <c r="E20" s="2">
        <v>6343</v>
      </c>
      <c r="F20" s="2">
        <v>160.1</v>
      </c>
      <c r="G20" s="2">
        <v>66.59</v>
      </c>
      <c r="J20" t="s">
        <v>1171</v>
      </c>
      <c r="K20">
        <v>-21.165384737258286</v>
      </c>
      <c r="L20">
        <v>4.4329547582579742</v>
      </c>
      <c r="M20">
        <v>-4.7745546461601345</v>
      </c>
      <c r="N20">
        <v>2.458635608929248E-4</v>
      </c>
      <c r="O20">
        <v>-30.614004142234286</v>
      </c>
      <c r="P20">
        <v>-11.716765332282288</v>
      </c>
      <c r="Q20">
        <v>-30.614004142234286</v>
      </c>
      <c r="R20">
        <v>-11.716765332282288</v>
      </c>
    </row>
    <row r="21" spans="1:18" ht="15.75" thickBot="1" x14ac:dyDescent="0.3">
      <c r="A21" s="2">
        <v>21.65</v>
      </c>
      <c r="B21" s="2">
        <v>3881</v>
      </c>
      <c r="C21" s="2">
        <v>36.28</v>
      </c>
      <c r="D21" s="2">
        <v>11.5</v>
      </c>
      <c r="E21" s="2">
        <v>4413</v>
      </c>
      <c r="F21" s="2">
        <v>141.69</v>
      </c>
      <c r="G21" s="2">
        <v>59.43</v>
      </c>
      <c r="J21" s="11" t="s">
        <v>1172</v>
      </c>
      <c r="K21" s="11">
        <v>38.954772048946616</v>
      </c>
      <c r="L21" s="11">
        <v>5.9738593039284833</v>
      </c>
      <c r="M21" s="11">
        <v>6.5208720304693948</v>
      </c>
      <c r="N21" s="11">
        <v>9.6734454539095567E-6</v>
      </c>
      <c r="O21" s="11">
        <v>26.221792350350221</v>
      </c>
      <c r="P21" s="11">
        <v>51.687751747543011</v>
      </c>
      <c r="Q21" s="11">
        <v>26.221792350350221</v>
      </c>
      <c r="R21" s="11">
        <v>51.687751747543011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9E10-5832-4E6F-AAC5-AC8A4A14C04D}">
  <dimension ref="A1:P25"/>
  <sheetViews>
    <sheetView workbookViewId="0">
      <selection activeCell="F35" sqref="F35"/>
    </sheetView>
  </sheetViews>
  <sheetFormatPr defaultRowHeight="15" x14ac:dyDescent="0.25"/>
  <cols>
    <col min="1" max="1" width="15.85546875" bestFit="1" customWidth="1"/>
    <col min="3" max="3" width="11.140625" bestFit="1" customWidth="1"/>
    <col min="16" max="16" width="23.7109375" bestFit="1" customWidth="1"/>
  </cols>
  <sheetData>
    <row r="1" spans="1:16" x14ac:dyDescent="0.25">
      <c r="A1" s="1" t="s">
        <v>1174</v>
      </c>
      <c r="B1" s="1" t="s">
        <v>8</v>
      </c>
      <c r="C1" s="1" t="s">
        <v>1167</v>
      </c>
      <c r="P1" s="18" t="s">
        <v>1175</v>
      </c>
    </row>
    <row r="2" spans="1:16" x14ac:dyDescent="0.25">
      <c r="A2" s="2">
        <v>1</v>
      </c>
      <c r="B2" s="6">
        <v>45292</v>
      </c>
      <c r="C2" s="2">
        <v>156.57</v>
      </c>
      <c r="P2" s="2" t="e">
        <v>#N/A</v>
      </c>
    </row>
    <row r="3" spans="1:16" x14ac:dyDescent="0.25">
      <c r="A3" s="2">
        <v>2</v>
      </c>
      <c r="B3" s="6">
        <v>45323</v>
      </c>
      <c r="C3" s="2">
        <v>176.98</v>
      </c>
      <c r="P3" s="2" t="e">
        <v>#N/A</v>
      </c>
    </row>
    <row r="4" spans="1:16" x14ac:dyDescent="0.25">
      <c r="A4" s="2">
        <v>3</v>
      </c>
      <c r="B4" s="6">
        <v>45352</v>
      </c>
      <c r="C4" s="2">
        <v>179.91</v>
      </c>
      <c r="P4" s="2">
        <f t="shared" ref="P4:P25" si="0">AVERAGE(C2:C4)</f>
        <v>171.15333333333331</v>
      </c>
    </row>
    <row r="5" spans="1:16" x14ac:dyDescent="0.25">
      <c r="A5" s="2">
        <v>4</v>
      </c>
      <c r="B5" s="6">
        <v>45383</v>
      </c>
      <c r="C5" s="2">
        <v>173.46</v>
      </c>
      <c r="P5" s="2">
        <f t="shared" si="0"/>
        <v>176.78333333333333</v>
      </c>
    </row>
    <row r="6" spans="1:16" x14ac:dyDescent="0.25">
      <c r="A6" s="2">
        <v>5</v>
      </c>
      <c r="B6" s="6">
        <v>45413</v>
      </c>
      <c r="C6" s="2">
        <v>177.11</v>
      </c>
      <c r="P6" s="2">
        <f t="shared" si="0"/>
        <v>176.82666666666668</v>
      </c>
    </row>
    <row r="7" spans="1:16" x14ac:dyDescent="0.25">
      <c r="A7" s="2">
        <v>6</v>
      </c>
      <c r="B7" s="6">
        <v>45444</v>
      </c>
      <c r="C7" s="2">
        <v>185.26</v>
      </c>
      <c r="P7" s="2">
        <f t="shared" si="0"/>
        <v>178.61</v>
      </c>
    </row>
    <row r="8" spans="1:16" x14ac:dyDescent="0.25">
      <c r="A8" s="2">
        <v>7</v>
      </c>
      <c r="B8" s="6">
        <v>45474</v>
      </c>
      <c r="C8" s="2">
        <v>161.87</v>
      </c>
      <c r="P8" s="2">
        <f t="shared" si="0"/>
        <v>174.74666666666667</v>
      </c>
    </row>
    <row r="9" spans="1:16" x14ac:dyDescent="0.25">
      <c r="A9" s="2">
        <v>8</v>
      </c>
      <c r="B9" s="6">
        <v>45505</v>
      </c>
      <c r="C9" s="2">
        <v>170.87</v>
      </c>
      <c r="P9" s="2">
        <f t="shared" si="0"/>
        <v>172.66666666666666</v>
      </c>
    </row>
    <row r="10" spans="1:16" x14ac:dyDescent="0.25">
      <c r="A10" s="2">
        <v>9</v>
      </c>
      <c r="B10" s="6">
        <v>45536</v>
      </c>
      <c r="C10" s="2">
        <v>181.83</v>
      </c>
      <c r="P10" s="2">
        <f t="shared" si="0"/>
        <v>171.52333333333334</v>
      </c>
    </row>
    <row r="11" spans="1:16" x14ac:dyDescent="0.25">
      <c r="A11" s="2">
        <v>10</v>
      </c>
      <c r="B11" s="6">
        <v>45566</v>
      </c>
      <c r="C11" s="2">
        <v>177.68</v>
      </c>
      <c r="P11" s="2">
        <f t="shared" si="0"/>
        <v>176.79333333333338</v>
      </c>
    </row>
    <row r="12" spans="1:16" x14ac:dyDescent="0.25">
      <c r="A12" s="2">
        <v>11</v>
      </c>
      <c r="B12" s="6">
        <v>45597</v>
      </c>
      <c r="C12" s="2">
        <v>188.61</v>
      </c>
      <c r="P12" s="2">
        <f t="shared" si="0"/>
        <v>182.70666666666668</v>
      </c>
    </row>
    <row r="13" spans="1:16" x14ac:dyDescent="0.25">
      <c r="A13" s="2">
        <v>12</v>
      </c>
      <c r="B13" s="6">
        <v>45627</v>
      </c>
      <c r="C13" s="2">
        <v>203.53</v>
      </c>
      <c r="P13" s="2">
        <f t="shared" si="0"/>
        <v>189.94000000000003</v>
      </c>
    </row>
    <row r="14" spans="1:16" x14ac:dyDescent="0.25">
      <c r="A14" s="2">
        <v>13</v>
      </c>
      <c r="B14" s="6">
        <v>45658</v>
      </c>
      <c r="C14" s="2">
        <v>223.46</v>
      </c>
      <c r="P14" s="2">
        <f t="shared" si="0"/>
        <v>205.20000000000002</v>
      </c>
    </row>
    <row r="15" spans="1:16" x14ac:dyDescent="0.25">
      <c r="A15" s="2">
        <v>14</v>
      </c>
      <c r="B15" s="6">
        <v>45689</v>
      </c>
      <c r="C15" s="2">
        <v>222.8</v>
      </c>
      <c r="P15" s="2">
        <f t="shared" si="0"/>
        <v>216.59666666666666</v>
      </c>
    </row>
    <row r="16" spans="1:16" x14ac:dyDescent="0.25">
      <c r="A16" s="2">
        <v>15</v>
      </c>
      <c r="B16" s="6">
        <v>45717</v>
      </c>
      <c r="C16" s="2">
        <v>230.28</v>
      </c>
      <c r="P16" s="2">
        <f t="shared" si="0"/>
        <v>225.51333333333332</v>
      </c>
    </row>
    <row r="17" spans="1:16" x14ac:dyDescent="0.25">
      <c r="A17" s="2">
        <v>16</v>
      </c>
      <c r="B17" s="6">
        <v>45748</v>
      </c>
      <c r="C17" s="2">
        <v>232.82</v>
      </c>
      <c r="P17" s="2">
        <f t="shared" si="0"/>
        <v>228.63333333333335</v>
      </c>
    </row>
    <row r="18" spans="1:16" x14ac:dyDescent="0.25">
      <c r="A18" s="2">
        <v>17</v>
      </c>
      <c r="B18" s="6">
        <v>45778</v>
      </c>
      <c r="C18" s="2">
        <v>245.03</v>
      </c>
      <c r="P18" s="2">
        <f t="shared" si="0"/>
        <v>236.04333333333332</v>
      </c>
    </row>
    <row r="19" spans="1:16" x14ac:dyDescent="0.25">
      <c r="A19" s="2">
        <v>18</v>
      </c>
      <c r="B19" s="6">
        <v>45809</v>
      </c>
      <c r="C19" s="2">
        <v>241.93</v>
      </c>
      <c r="P19" s="2">
        <f t="shared" si="0"/>
        <v>239.92666666666665</v>
      </c>
    </row>
    <row r="20" spans="1:16" x14ac:dyDescent="0.25">
      <c r="A20" s="2">
        <v>19</v>
      </c>
      <c r="B20" s="6">
        <v>45839</v>
      </c>
      <c r="C20" s="2">
        <v>233.02</v>
      </c>
      <c r="P20" s="2">
        <f t="shared" si="0"/>
        <v>239.99333333333334</v>
      </c>
    </row>
    <row r="21" spans="1:16" x14ac:dyDescent="0.25">
      <c r="A21" s="2">
        <v>20</v>
      </c>
      <c r="B21" s="6">
        <v>45870</v>
      </c>
      <c r="C21" s="2">
        <v>228.94</v>
      </c>
      <c r="P21" s="2">
        <f t="shared" si="0"/>
        <v>234.63000000000002</v>
      </c>
    </row>
    <row r="22" spans="1:16" x14ac:dyDescent="0.25">
      <c r="A22" s="2">
        <v>21</v>
      </c>
      <c r="B22" s="6">
        <v>45901</v>
      </c>
      <c r="C22" s="2">
        <v>233.19</v>
      </c>
      <c r="P22" s="2">
        <f t="shared" si="0"/>
        <v>231.7166666666667</v>
      </c>
    </row>
    <row r="23" spans="1:16" x14ac:dyDescent="0.25">
      <c r="A23" s="2">
        <v>22</v>
      </c>
      <c r="B23" s="6">
        <v>45931</v>
      </c>
      <c r="C23" s="2">
        <v>243.46</v>
      </c>
      <c r="P23" s="2">
        <f t="shared" si="0"/>
        <v>235.19666666666669</v>
      </c>
    </row>
    <row r="24" spans="1:16" x14ac:dyDescent="0.25">
      <c r="A24" s="2">
        <v>23</v>
      </c>
      <c r="B24" s="6">
        <v>45962</v>
      </c>
      <c r="C24" s="2">
        <v>241.32</v>
      </c>
      <c r="P24" s="2">
        <f t="shared" si="0"/>
        <v>239.32333333333335</v>
      </c>
    </row>
    <row r="25" spans="1:16" x14ac:dyDescent="0.25">
      <c r="A25" s="2">
        <v>24</v>
      </c>
      <c r="B25" s="6">
        <v>45992</v>
      </c>
      <c r="C25" s="2">
        <v>263.88</v>
      </c>
      <c r="P25" s="2">
        <f t="shared" si="0"/>
        <v>249.55333333333331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A1D1-0AAF-4FD4-BFD5-C92553A6B738}">
  <dimension ref="A1:E29"/>
  <sheetViews>
    <sheetView tabSelected="1" workbookViewId="0">
      <selection activeCell="M34" sqref="M34"/>
    </sheetView>
  </sheetViews>
  <sheetFormatPr defaultRowHeight="15" x14ac:dyDescent="0.25"/>
  <cols>
    <col min="2" max="2" width="13.42578125" customWidth="1"/>
    <col min="3" max="3" width="22.28515625" customWidth="1"/>
    <col min="4" max="4" width="37" customWidth="1"/>
    <col min="5" max="5" width="37.140625" customWidth="1"/>
  </cols>
  <sheetData>
    <row r="1" spans="1:5" x14ac:dyDescent="0.25">
      <c r="A1" t="s">
        <v>8</v>
      </c>
      <c r="B1" t="s">
        <v>1167</v>
      </c>
      <c r="C1" t="s">
        <v>1176</v>
      </c>
      <c r="D1" t="s">
        <v>1177</v>
      </c>
      <c r="E1" t="s">
        <v>1178</v>
      </c>
    </row>
    <row r="2" spans="1:5" x14ac:dyDescent="0.25">
      <c r="A2" s="4">
        <v>45292</v>
      </c>
      <c r="B2">
        <v>156.57</v>
      </c>
    </row>
    <row r="3" spans="1:5" x14ac:dyDescent="0.25">
      <c r="A3" s="4">
        <v>45323</v>
      </c>
      <c r="B3">
        <v>176.98</v>
      </c>
    </row>
    <row r="4" spans="1:5" x14ac:dyDescent="0.25">
      <c r="A4" s="4">
        <v>45352</v>
      </c>
      <c r="B4">
        <v>179.91</v>
      </c>
    </row>
    <row r="5" spans="1:5" x14ac:dyDescent="0.25">
      <c r="A5" s="4">
        <v>45383</v>
      </c>
      <c r="B5">
        <v>173.46</v>
      </c>
    </row>
    <row r="6" spans="1:5" x14ac:dyDescent="0.25">
      <c r="A6" s="4">
        <v>45413</v>
      </c>
      <c r="B6">
        <v>177.11</v>
      </c>
    </row>
    <row r="7" spans="1:5" x14ac:dyDescent="0.25">
      <c r="A7" s="4">
        <v>45444</v>
      </c>
      <c r="B7">
        <v>185.26</v>
      </c>
    </row>
    <row r="8" spans="1:5" x14ac:dyDescent="0.25">
      <c r="A8" s="4">
        <v>45474</v>
      </c>
      <c r="B8">
        <v>161.87</v>
      </c>
    </row>
    <row r="9" spans="1:5" x14ac:dyDescent="0.25">
      <c r="A9" s="4">
        <v>45505</v>
      </c>
      <c r="B9">
        <v>170.87</v>
      </c>
    </row>
    <row r="10" spans="1:5" x14ac:dyDescent="0.25">
      <c r="A10" s="4">
        <v>45536</v>
      </c>
      <c r="B10">
        <v>181.83</v>
      </c>
    </row>
    <row r="11" spans="1:5" x14ac:dyDescent="0.25">
      <c r="A11" s="4">
        <v>45566</v>
      </c>
      <c r="B11">
        <v>177.68</v>
      </c>
    </row>
    <row r="12" spans="1:5" x14ac:dyDescent="0.25">
      <c r="A12" s="4">
        <v>45597</v>
      </c>
      <c r="B12">
        <v>188.61</v>
      </c>
    </row>
    <row r="13" spans="1:5" x14ac:dyDescent="0.25">
      <c r="A13" s="4">
        <v>45627</v>
      </c>
      <c r="B13">
        <v>203.53</v>
      </c>
    </row>
    <row r="14" spans="1:5" x14ac:dyDescent="0.25">
      <c r="A14" s="4">
        <v>45658</v>
      </c>
      <c r="B14">
        <v>223.46</v>
      </c>
    </row>
    <row r="15" spans="1:5" x14ac:dyDescent="0.25">
      <c r="A15" s="4">
        <v>45689</v>
      </c>
      <c r="B15">
        <v>222.8</v>
      </c>
    </row>
    <row r="16" spans="1:5" x14ac:dyDescent="0.25">
      <c r="A16" s="4">
        <v>45717</v>
      </c>
      <c r="B16">
        <v>230.28</v>
      </c>
    </row>
    <row r="17" spans="1:5" x14ac:dyDescent="0.25">
      <c r="A17" s="4">
        <v>45748</v>
      </c>
      <c r="B17">
        <v>232.82</v>
      </c>
    </row>
    <row r="18" spans="1:5" x14ac:dyDescent="0.25">
      <c r="A18" s="4">
        <v>45778</v>
      </c>
      <c r="B18">
        <v>245.03</v>
      </c>
    </row>
    <row r="19" spans="1:5" x14ac:dyDescent="0.25">
      <c r="A19" s="4">
        <v>45809</v>
      </c>
      <c r="B19">
        <v>241.93</v>
      </c>
    </row>
    <row r="20" spans="1:5" x14ac:dyDescent="0.25">
      <c r="A20" s="4">
        <v>45839</v>
      </c>
      <c r="B20">
        <v>233.02</v>
      </c>
    </row>
    <row r="21" spans="1:5" x14ac:dyDescent="0.25">
      <c r="A21" s="4">
        <v>45870</v>
      </c>
      <c r="B21">
        <v>228.94</v>
      </c>
    </row>
    <row r="22" spans="1:5" x14ac:dyDescent="0.25">
      <c r="A22" s="4">
        <v>45901</v>
      </c>
      <c r="B22">
        <v>233.19</v>
      </c>
    </row>
    <row r="23" spans="1:5" x14ac:dyDescent="0.25">
      <c r="A23" s="4">
        <v>45931</v>
      </c>
      <c r="B23">
        <v>243.46</v>
      </c>
    </row>
    <row r="24" spans="1:5" x14ac:dyDescent="0.25">
      <c r="A24" s="4">
        <v>45962</v>
      </c>
      <c r="B24">
        <v>241.32</v>
      </c>
    </row>
    <row r="25" spans="1:5" x14ac:dyDescent="0.25">
      <c r="A25" s="4">
        <v>45992</v>
      </c>
      <c r="B25">
        <v>263.88</v>
      </c>
      <c r="C25">
        <v>263.88</v>
      </c>
      <c r="D25" s="23">
        <v>263.88</v>
      </c>
      <c r="E25" s="23">
        <v>263.88</v>
      </c>
    </row>
    <row r="26" spans="1:5" x14ac:dyDescent="0.25">
      <c r="A26" s="4">
        <v>46023</v>
      </c>
      <c r="C26">
        <f>_xlfn.FORECAST.ETS(A26,$B$2:$B$25,$A$2:$A$25,1,1)</f>
        <v>258.7529640073185</v>
      </c>
      <c r="D26" s="23">
        <f>C26-_xlfn.FORECAST.ETS.CONFINT(A26,$B$2:$B$25,$A$2:$A$25,0.95,1,1)</f>
        <v>235.56340046376621</v>
      </c>
      <c r="E26" s="23">
        <f>C26+_xlfn.FORECAST.ETS.CONFINT(A26,$B$2:$B$25,$A$2:$A$25,0.95,1,1)</f>
        <v>281.94252755087081</v>
      </c>
    </row>
    <row r="27" spans="1:5" x14ac:dyDescent="0.25">
      <c r="A27" s="4">
        <v>46054</v>
      </c>
      <c r="C27">
        <f>_xlfn.FORECAST.ETS(A27,$B$2:$B$25,$A$2:$A$25,1,1)</f>
        <v>263.02646768471789</v>
      </c>
      <c r="D27" s="23">
        <f>C27-_xlfn.FORECAST.ETS.CONFINT(A27,$B$2:$B$25,$A$2:$A$25,0.95,1,1)</f>
        <v>239.83679978836446</v>
      </c>
      <c r="E27" s="23">
        <f>C27+_xlfn.FORECAST.ETS.CONFINT(A27,$B$2:$B$25,$A$2:$A$25,0.95,1,1)</f>
        <v>286.21613558107134</v>
      </c>
    </row>
    <row r="28" spans="1:5" x14ac:dyDescent="0.25">
      <c r="A28" s="4">
        <v>46082</v>
      </c>
      <c r="C28">
        <f>_xlfn.FORECAST.ETS(A28,$B$2:$B$25,$A$2:$A$25,1,1)</f>
        <v>267.29997136211722</v>
      </c>
      <c r="D28" s="23">
        <f>C28-_xlfn.FORECAST.ETS.CONFINT(A28,$B$2:$B$25,$A$2:$A$25,0.95,1,1)</f>
        <v>244.11011795083229</v>
      </c>
      <c r="E28" s="23">
        <f>C28+_xlfn.FORECAST.ETS.CONFINT(A28,$B$2:$B$25,$A$2:$A$25,0.95,1,1)</f>
        <v>290.48982477340212</v>
      </c>
    </row>
    <row r="29" spans="1:5" x14ac:dyDescent="0.25">
      <c r="A29" s="4">
        <v>46112</v>
      </c>
      <c r="C29">
        <f>_xlfn.FORECAST.ETS(A29,$B$2:$B$25,$A$2:$A$25,1,1)</f>
        <v>271.43562008218112</v>
      </c>
      <c r="D29" s="23">
        <f>C29-_xlfn.FORECAST.ETS.CONFINT(A29,$B$2:$B$25,$A$2:$A$25,0.95,1,1)</f>
        <v>248.24548615718538</v>
      </c>
      <c r="E29" s="23">
        <f>C29+_xlfn.FORECAST.ETS.CONFINT(A29,$B$2:$B$25,$A$2:$A$25,0.95,1,1)</f>
        <v>294.62575400717685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3257FF-2724-4CCC-8E42-D83BF9998C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DataSet</vt:lpstr>
      <vt:lpstr>S1-Q1</vt:lpstr>
      <vt:lpstr>S1-Q2</vt:lpstr>
      <vt:lpstr>S1-Q3</vt:lpstr>
      <vt:lpstr>customer_demographic_sales_data</vt:lpstr>
      <vt:lpstr>S2-Q5</vt:lpstr>
      <vt:lpstr>S2-Q6</vt:lpstr>
      <vt:lpstr>Usage_Data_Feedback</vt:lpstr>
      <vt:lpstr>S2-Q7</vt:lpstr>
      <vt:lpstr>S3-Q8</vt:lpstr>
      <vt:lpstr>S3-Q9</vt:lpstr>
      <vt:lpstr>S3-Q10</vt:lpstr>
      <vt:lpstr>S3-Q11</vt:lpstr>
      <vt:lpstr>S3-Q12</vt:lpstr>
      <vt:lpstr>S4-Q13</vt:lpstr>
      <vt:lpstr>S4-Q14</vt:lpstr>
      <vt:lpstr>S4-Q15</vt:lpstr>
      <vt:lpstr>Forecast-sheet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Kashyap</dc:creator>
  <cp:keywords/>
  <dc:description/>
  <cp:lastModifiedBy>Rahul Kashyap</cp:lastModifiedBy>
  <cp:revision/>
  <dcterms:created xsi:type="dcterms:W3CDTF">2026-05-10T02:52:15Z</dcterms:created>
  <dcterms:modified xsi:type="dcterms:W3CDTF">2026-07-27T12:00:43Z</dcterms:modified>
  <cp:category/>
  <cp:contentStatus/>
</cp:coreProperties>
</file>